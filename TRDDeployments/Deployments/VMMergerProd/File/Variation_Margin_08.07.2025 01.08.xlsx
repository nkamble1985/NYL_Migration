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drawing+xml" PartName="/xl/drawings/drawing7.xml"/>
  <Override ContentType="application/vnd.openxmlformats-officedocument.spreadsheetml.worksheet+xml" PartName="/xl/worksheets/sheet8.xml"/>
  <Override ContentType="application/vnd.openxmlformats-officedocument.drawing+xml" PartName="/xl/drawings/drawing8.xml"/>
  <Override ContentType="image/png" PartName="/xl/media/image1.png"/>
  <Override ContentType="application/vnd.openxmlformats-officedocument.spreadsheetml.worksheet+xml" PartName="/xl/worksheets/sheet9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pen Positions" sheetId="1" r:id="rId1"/>
    <sheet name="Purchase&amp;Sales" sheetId="2" r:id="rId3"/>
    <sheet name="Confirmed Trades" sheetId="3" r:id="rId4"/>
    <sheet name="Intial Margin" sheetId="4" r:id="rId5"/>
    <sheet name="VM" sheetId="5" r:id="rId6" state="hidden"/>
    <sheet name="Calc" sheetId="6" r:id="rId7"/>
    <sheet name="VM_2" sheetId="7" r:id="rId8"/>
    <sheet name="VM HISTORY " sheetId="8" r:id="rId9"/>
    <sheet name="Holidays" sheetId="9" r:id="rId10" state="hidden"/>
  </sheets>
  <definedNames>
    <definedName name="_xlnm._FilterDatabase" localSheetId="0">'Open Positions'!$A$3:$R$40</definedName>
  </definedNames>
  <calcPr fullCalcOnLoad="1"/>
</workbook>
</file>

<file path=xl/sharedStrings.xml><?xml version="1.0" encoding="utf-8"?>
<sst xmlns="http://schemas.openxmlformats.org/spreadsheetml/2006/main" count="110" uniqueCount="110">
  <si>
    <t xml:space="preserve">All Accounts 
08/07/2025</t>
  </si>
  <si>
    <t>IndexIQ Advisors LLC</t>
  </si>
  <si>
    <t>COB Date</t>
  </si>
  <si>
    <t>Account</t>
  </si>
  <si>
    <t>Account Name</t>
  </si>
  <si>
    <t>Market</t>
  </si>
  <si>
    <t>Trade Date</t>
  </si>
  <si>
    <t>Long Qty</t>
  </si>
  <si>
    <t>Short Qty</t>
  </si>
  <si>
    <t>Curr</t>
  </si>
  <si>
    <t>GMI Exch Code</t>
  </si>
  <si>
    <t>GMI Prod Code</t>
  </si>
  <si>
    <t>Product</t>
  </si>
  <si>
    <t>Month</t>
  </si>
  <si>
    <t>Year</t>
  </si>
  <si>
    <t>Contract Day</t>
  </si>
  <si>
    <t>P/C</t>
  </si>
  <si>
    <t>Strike Price</t>
  </si>
  <si>
    <t>Trade Price</t>
  </si>
  <si>
    <t>Stl Price</t>
  </si>
  <si>
    <t/>
  </si>
  <si>
    <t>CME (IMM)</t>
  </si>
  <si>
    <t>USD</t>
  </si>
  <si>
    <t>ES</t>
  </si>
  <si>
    <t>EMINI S&amp;P 500</t>
  </si>
  <si>
    <t>Account name</t>
  </si>
  <si>
    <t>Trade Type</t>
  </si>
  <si>
    <t>Buy/Sell</t>
  </si>
  <si>
    <t>Quantity</t>
  </si>
  <si>
    <t>Contract Month</t>
  </si>
  <si>
    <t>Contract Year</t>
  </si>
  <si>
    <t>Put/Call Indicator</t>
  </si>
  <si>
    <t>Contract Currency</t>
  </si>
  <si>
    <t>Realized P&amp;L (local)</t>
  </si>
  <si>
    <t>Net Realized P&amp;L (local)</t>
  </si>
  <si>
    <t>Clearing + Execution Commission (local)</t>
  </si>
  <si>
    <t>Total Fees (local)</t>
  </si>
  <si>
    <t>Purchase &amp; Sale</t>
  </si>
  <si>
    <t>B</t>
  </si>
  <si>
    <t>S</t>
  </si>
  <si>
    <t>Buy/ Sell</t>
  </si>
  <si>
    <t>Executing Broker</t>
  </si>
  <si>
    <t>Option Premium (local)</t>
  </si>
  <si>
    <t>New Trade</t>
  </si>
  <si>
    <t>GOLDMAN SACHS</t>
  </si>
  <si>
    <t xml:space="preserve">GS Account  Number</t>
  </si>
  <si>
    <t>Client Account Name</t>
  </si>
  <si>
    <t>Account Type</t>
  </si>
  <si>
    <t>Currency</t>
  </si>
  <si>
    <t>Beginning Account Balance (Local)</t>
  </si>
  <si>
    <t>Ending Account Balance (Local)</t>
  </si>
  <si>
    <t>Gross Realized P&amp;L (Local)</t>
  </si>
  <si>
    <t>Net Realized P&amp;L (Local)</t>
  </si>
  <si>
    <t>Commission &amp; Fees (Local)</t>
  </si>
  <si>
    <t>Open Trade Equity (Local)</t>
  </si>
  <si>
    <t>Total Equity (Local)</t>
  </si>
  <si>
    <t>Initial Margin Requirement (Local)</t>
  </si>
  <si>
    <t>Maintenance Margin Requirement (Local)</t>
  </si>
  <si>
    <t>Excess/Deficit (Local)</t>
  </si>
  <si>
    <t>Security on Deposit (Local)</t>
  </si>
  <si>
    <t>00102702</t>
  </si>
  <si>
    <t xml:space="preserve">Beginning 
Account Balance</t>
  </si>
  <si>
    <t xml:space="preserve">Total Comms/
Fees</t>
  </si>
  <si>
    <t>Gross P/L</t>
  </si>
  <si>
    <t>Net P/L</t>
  </si>
  <si>
    <t xml:space="preserve">Cash Amount
(Trade Date-1 VM)</t>
  </si>
  <si>
    <t xml:space="preserve">Ending Account Balance/
Trade Date +1 Beginning Account Balance</t>
  </si>
  <si>
    <t>Open Trade Equity</t>
  </si>
  <si>
    <t xml:space="preserve">Total Equity 
(Trade Date VM)</t>
  </si>
  <si>
    <t>00102703</t>
  </si>
  <si>
    <t>VPIE</t>
  </si>
  <si>
    <t>MAINSP</t>
  </si>
  <si>
    <t>VPIE - HAD TO ADJUST COMMS WHICH AFFECTED VM BY $100</t>
  </si>
  <si>
    <t>ESU5</t>
  </si>
  <si>
    <t>SETTLEMENT PRICE</t>
  </si>
  <si>
    <t>Contracts</t>
  </si>
  <si>
    <t>Total Notional Long</t>
  </si>
  <si>
    <t>Avg Long Px</t>
  </si>
  <si>
    <t>Notional</t>
  </si>
  <si>
    <t>TOTAL OTE</t>
  </si>
  <si>
    <t>REFRESH BB</t>
  </si>
  <si>
    <t>On Tuesday's change date in A3 to match Sat date</t>
  </si>
  <si>
    <t>If doesn't Match see if diff is off by yesterdays wires. Call GS</t>
  </si>
  <si>
    <t>EMAIL:</t>
  </si>
  <si>
    <t>Make sure matches GS statement</t>
  </si>
  <si>
    <r xmlns="http://schemas.openxmlformats.org/spreadsheetml/2006/main">
      <t>SA2 pls set up the below:</t>
    </r>
    <r xmlns="http://schemas.openxmlformats.org/spreadsheetml/2006/main">
      <rPr>
        <sz val="12"/>
        <color rgb="FF242424"/>
        <rFont val="Aptos"/>
        <family val="2"/>
      </rPr>
      <t xml:space="preserve"> </t>
    </r>
  </si>
  <si>
    <t>Tuesday, enter Sat date above</t>
  </si>
  <si>
    <t>REFRESH BB CODES</t>
  </si>
  <si>
    <t>Formula</t>
  </si>
  <si>
    <t>*Any differences, plug into Beg bal in VM history so it doesn't carry each day</t>
  </si>
  <si>
    <t>GS Account</t>
  </si>
  <si>
    <t xml:space="preserve">Securites on Deposit </t>
  </si>
  <si>
    <t>Initial Margin Requirement</t>
  </si>
  <si>
    <t>Initial Margin Call</t>
  </si>
  <si>
    <t>VM Formula:</t>
  </si>
  <si>
    <t>Ending Balance + Open Trade Equity</t>
  </si>
  <si>
    <t>OTE:</t>
  </si>
  <si>
    <t>(Settlement Price - Trade Price)*# of contracts*contract size</t>
  </si>
  <si>
    <t>Ending Balance:</t>
  </si>
  <si>
    <t>Beginning Cash Balance+/-any realized cash movements (PNL,cash movements,fees,comms)</t>
  </si>
  <si>
    <t>MONTH END INTEREST HITS ON THE 3RD BIZZ DAY OF THE MONTH</t>
  </si>
  <si>
    <t>MAINSP - GS DIDN’T INCLUDE PRIOR DAY VM IN CALC</t>
  </si>
  <si>
    <t xml:space="preserve">BNYMO - Didn’t send out 9/22 VM. Have to adjust to keep running sheet going </t>
  </si>
  <si>
    <t>VM DIDN’T GO OUT - DELETED FROM SHEET</t>
  </si>
  <si>
    <t xml:space="preserve">SA2 pls set up the below: </t>
  </si>
  <si>
    <t>Adjusted for IME FEE ON STATEMENT</t>
  </si>
  <si>
    <t>Was off slighly again</t>
  </si>
  <si>
    <t>IMR FEE</t>
  </si>
  <si>
    <t>Adjusted beg bal this time, diff was carryingeach day due to formula</t>
  </si>
  <si>
    <t>Matched</t>
  </si>
</sst>
</file>

<file path=xl/styles.xml><?xml version="1.0" encoding="utf-8"?>
<styleSheet xmlns="http://schemas.openxmlformats.org/spreadsheetml/2006/main">
  <numFmts count="7">
    <numFmt numFmtId="164" formatCode="yyyy\-mm\-dd"/>
    <numFmt numFmtId="165" formatCode="#,##0.00000000"/>
    <numFmt numFmtId="166" formatCode="mmm\ dd\,\ yyyy"/>
    <numFmt numFmtId="167" formatCode="_(&quot;$&quot;* #,##0.00_);_(&quot;$&quot;* \(#,##0.00\);_(&quot;$&quot;* &quot;-&quot;??_);_(@_)"/>
    <numFmt numFmtId="168" formatCode="_(&quot;$&quot;* #,##0.00000_);_(&quot;$&quot;* \(#,##0.00000\);_(&quot;$&quot;* &quot;-&quot;??_);_(@_)"/>
    <numFmt numFmtId="169" formatCode="_(&quot;$&quot;* #,##0.0000_);_(&quot;$&quot;* \(#,##0.0000\);_(&quot;$&quot;* &quot;-&quot;??_);_(@_)"/>
    <numFmt numFmtId="170" formatCode="0.0000%"/>
  </numFmts>
  <fonts count="8">
    <font>
      <sz val="11"/>
      <name val="Calibri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  <font>
      <sz val="12"/>
      <color rgb="FF000000"/>
      <name val="Aptos"/>
      <family val="2"/>
    </font>
    <font>
      <sz val="12"/>
      <color rgb="FF242424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04998931852168340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/>
    <xf numFmtId="0" fontId="2" fillId="0" borderId="0"/>
    <xf numFmtId="0" fontId="2" fillId="0" borderId="0"/>
  </cellStyleXfs>
  <cellXfs count="78">
    <xf numFmtId="0" applyNumberFormat="1" fontId="0" applyFont="1" xfId="0" applyProtection="1"/>
    <xf numFmtId="0" applyNumberFormat="1" fontId="2" applyFont="1" fillId="0" applyFill="1" borderId="0" applyBorder="1" xfId="1" applyProtection="1"/>
    <xf numFmtId="0" applyNumberFormat="1" fontId="2" applyFont="1" fillId="0" applyFill="1" borderId="0" applyBorder="1" xfId="2" applyProtection="1"/>
    <xf numFmtId="0" applyNumberFormat="1" fontId="1" applyFont="1" fillId="0" applyFill="1" borderId="0" applyBorder="1" xfId="0" applyProtection="1"/>
    <xf numFmtId="0" applyNumberFormat="1" fontId="2" applyFont="1" fillId="0" applyFill="1" borderId="0" applyBorder="1" xfId="0" applyProtection="1"/>
    <xf numFmtId="49" applyNumberFormat="1" fontId="3" applyFont="1" fillId="0" applyFill="1" borderId="0" applyBorder="1" xfId="0" applyProtection="1"/>
    <xf numFmtId="49" applyNumberFormat="1" fontId="1" applyFont="1" fillId="0" applyFill="1" borderId="0" applyBorder="1" xfId="0" applyProtection="1" applyAlignment="1">
      <alignment vertical="top" wrapText="1"/>
    </xf>
    <xf numFmtId="49" applyNumberFormat="1" fontId="3" applyFont="1" fillId="0" applyFill="1" borderId="0" applyBorder="1" xfId="0" applyProtection="1" applyAlignment="1">
      <alignment horizontal="right" vertical="top" wrapText="1"/>
    </xf>
    <xf numFmtId="0" applyNumberFormat="1" fontId="3" applyFont="1" fillId="0" applyFill="1" borderId="0" applyBorder="1" xfId="0" applyProtection="1" applyAlignment="1">
      <alignment horizontal="center"/>
    </xf>
    <xf numFmtId="164" applyNumberFormat="1" fontId="1" applyFont="1" fillId="0" applyFill="1" borderId="0" applyBorder="1" xfId="0" applyProtection="1" applyAlignment="1">
      <alignment horizontal="center"/>
    </xf>
    <xf numFmtId="49" applyNumberFormat="1" fontId="1" applyFont="1" fillId="0" applyFill="1" borderId="0" applyBorder="1" xfId="0" applyProtection="1"/>
    <xf numFmtId="49" applyNumberFormat="1" fontId="1" applyFont="1" fillId="0" applyFill="1" borderId="0" applyBorder="1" xfId="0" applyProtection="1" applyAlignment="1">
      <alignment horizontal="center"/>
    </xf>
    <xf numFmtId="4" applyNumberFormat="1" fontId="1" applyFont="1" fillId="0" applyFill="1" borderId="0" applyBorder="1" xfId="0" applyProtection="1" applyAlignment="1">
      <alignment horizontal="right"/>
    </xf>
    <xf numFmtId="165" applyNumberFormat="1" fontId="1" applyFont="1" fillId="0" applyFill="1" borderId="0" applyBorder="1" xfId="0" applyProtection="1" applyAlignment="1">
      <alignment horizontal="right"/>
    </xf>
    <xf numFmtId="3" applyNumberFormat="1" fontId="1" applyFont="1" fillId="0" applyFill="1" borderId="0" applyBorder="1" xfId="0" applyProtection="1" applyAlignment="1">
      <alignment horizontal="right"/>
    </xf>
    <xf numFmtId="166" applyNumberFormat="1" fontId="1" applyFont="1" fillId="0" applyFill="1" borderId="0" applyBorder="1" xfId="0" applyProtection="1" applyAlignment="1">
      <alignment horizontal="center"/>
    </xf>
    <xf numFmtId="0" applyNumberFormat="1" fontId="4" applyFont="1" fillId="0" applyFill="1" borderId="0" applyBorder="1" xfId="0" applyProtection="1"/>
    <xf numFmtId="164" applyNumberFormat="1" fontId="2" applyFont="1" fillId="0" applyFill="1" borderId="0" applyBorder="1" xfId="0" applyProtection="1"/>
    <xf numFmtId="0" applyNumberFormat="1" fontId="2" applyFont="1" fillId="2" applyFill="1" borderId="1" applyBorder="1" xfId="0" applyProtection="1"/>
    <xf numFmtId="0" applyNumberFormat="1" fontId="2" applyFont="1" fillId="2" applyFill="1" borderId="0" applyBorder="1" xfId="0" applyProtection="1"/>
    <xf numFmtId="0" applyNumberFormat="1" fontId="4" applyFont="1" fillId="0" applyFill="1" borderId="2" applyBorder="1" xfId="0" applyProtection="1" applyAlignment="1">
      <alignment horizontal="center" vertical="center" wrapText="1"/>
    </xf>
    <xf numFmtId="0" applyNumberFormat="1" fontId="4" applyFont="1" fillId="0" applyFill="1" borderId="2" applyBorder="1" xfId="0" applyProtection="1">
      <alignment wrapText="1"/>
    </xf>
    <xf numFmtId="0" applyNumberFormat="1" fontId="4" applyFont="1" fillId="0" applyFill="1" borderId="3" applyBorder="1" xfId="0" applyProtection="1"/>
    <xf numFmtId="0" applyNumberFormat="1" fontId="4" applyFont="1" fillId="0" applyFill="1" borderId="4" applyBorder="1" xfId="0" applyProtection="1"/>
    <xf numFmtId="0" applyNumberFormat="1" fontId="4" applyFont="1" fillId="0" applyFill="1" borderId="2" applyBorder="1" xfId="0" applyProtection="1"/>
    <xf numFmtId="0" applyNumberFormat="1" fontId="4" applyFont="1" fillId="2" applyFill="1" borderId="3" applyBorder="1" xfId="0" applyProtection="1">
      <alignment wrapText="1"/>
    </xf>
    <xf numFmtId="14" applyNumberFormat="1" fontId="2" applyFont="1" fillId="0" applyFill="1" borderId="0" applyBorder="1" xfId="0" applyProtection="1"/>
    <xf numFmtId="0" applyNumberFormat="1" fontId="2" applyFont="1" fillId="3" applyFill="1" borderId="0" applyBorder="1" xfId="0" applyProtection="1"/>
    <xf numFmtId="167" applyNumberFormat="1" fontId="2" applyFont="1" fillId="0" applyFill="1" borderId="0" applyBorder="1" xfId="0" applyProtection="1"/>
    <xf numFmtId="167" applyNumberFormat="1" fontId="2" applyFont="1" fillId="0" applyFill="1" borderId="0" applyBorder="1" xfId="1" applyProtection="1"/>
    <xf numFmtId="167" applyNumberFormat="1" fontId="2" applyFont="1" fillId="0" applyFill="1" borderId="5" applyBorder="1" xfId="0" applyProtection="1"/>
    <xf numFmtId="167" applyNumberFormat="1" fontId="2" applyFont="1" fillId="2" applyFill="1" borderId="1" applyBorder="1" xfId="1" applyProtection="1"/>
    <xf numFmtId="167" applyNumberFormat="1" fontId="2" applyFont="1" fillId="0" applyFill="1" borderId="1" applyBorder="1" xfId="1" applyProtection="1"/>
    <xf numFmtId="0" applyNumberFormat="1" fontId="2" applyFont="1" fillId="0" applyFill="1" borderId="0" applyBorder="1" xfId="0" quotePrefix="1" applyProtection="1"/>
    <xf numFmtId="0" applyNumberFormat="1" fontId="4" applyFont="1" fillId="4" applyFill="1" borderId="0" applyBorder="1" xfId="0" applyProtection="1" applyAlignment="1">
      <alignment horizontal="right"/>
    </xf>
    <xf numFmtId="0" applyNumberFormat="1" fontId="4" applyFont="1" fillId="4" applyFill="1" borderId="0" applyBorder="1" xfId="0" applyProtection="1"/>
    <xf numFmtId="167" applyNumberFormat="1" fontId="4" applyFont="1" fillId="4" applyFill="1" borderId="0" applyBorder="1" xfId="1" applyProtection="1"/>
    <xf numFmtId="168" applyNumberFormat="1" fontId="2" applyFont="1" fillId="0" applyFill="1" borderId="0" applyBorder="1" xfId="0" applyProtection="1"/>
    <xf numFmtId="169" applyNumberFormat="1" fontId="2" applyFont="1" fillId="0" applyFill="1" borderId="0" applyBorder="1" xfId="0" applyProtection="1"/>
    <xf numFmtId="168" applyNumberFormat="1" fontId="2" applyFont="1" fillId="0" applyFill="1" borderId="0" applyBorder="1" xfId="1" applyProtection="1"/>
    <xf numFmtId="14" applyNumberFormat="1" fontId="4" applyFont="1" fillId="4" applyFill="1" borderId="0" applyBorder="1" xfId="0" applyProtection="1"/>
    <xf numFmtId="0" applyNumberFormat="1" fontId="4" applyFont="1" fillId="5" applyFill="1" borderId="0" applyBorder="1" xfId="0" applyProtection="1"/>
    <xf numFmtId="0" applyNumberFormat="1" fontId="2" applyFont="1" fillId="5" applyFill="1" borderId="0" applyBorder="1" xfId="0" applyProtection="1"/>
    <xf numFmtId="0" applyNumberFormat="1" fontId="5" applyFont="1" fillId="0" applyFill="1" borderId="0" applyBorder="1" xfId="0" applyProtection="1" applyAlignment="1">
      <alignment vertical="center"/>
    </xf>
    <xf numFmtId="167" applyNumberFormat="1" fontId="2" applyFont="1" fillId="5" applyFill="1" borderId="0" applyBorder="1" xfId="0" applyProtection="1"/>
    <xf numFmtId="0" applyNumberFormat="1" fontId="6" applyFont="1" fillId="0" applyFill="1" borderId="0" applyBorder="1" xfId="0" applyProtection="1" applyAlignment="1">
      <alignment vertical="center"/>
    </xf>
    <xf numFmtId="0" applyNumberFormat="1" fontId="4" applyFont="1" fillId="6" applyFill="1" borderId="0" applyBorder="1" xfId="0" applyProtection="1"/>
    <xf numFmtId="0" applyNumberFormat="1" fontId="2" applyFont="1" fillId="6" applyFill="1" borderId="0" applyBorder="1" xfId="0" applyProtection="1"/>
    <xf numFmtId="0" applyNumberFormat="1" fontId="2" applyFont="1" fillId="7" applyFill="1" borderId="0" applyBorder="1" xfId="0" applyProtection="1"/>
    <xf numFmtId="9" applyNumberFormat="1" fontId="2" applyFont="1" fillId="0" applyFill="1" borderId="0" applyBorder="1" xfId="0" applyProtection="1"/>
    <xf numFmtId="0" applyNumberFormat="1" fontId="4" applyFont="1" fillId="8" applyFill="1" borderId="0" applyBorder="1" xfId="0" applyProtection="1"/>
    <xf numFmtId="0" applyNumberFormat="1" fontId="2" applyFont="1" fillId="8" applyFill="1" borderId="0" applyBorder="1" xfId="0" applyProtection="1"/>
    <xf numFmtId="9" applyNumberFormat="1" fontId="2" applyFont="1" fillId="8" applyFill="1" borderId="0" applyBorder="1" xfId="0" applyProtection="1"/>
    <xf numFmtId="0" applyNumberFormat="1" fontId="4" applyFont="1" fillId="4" applyFill="1" borderId="6" applyBorder="1" xfId="0" applyProtection="1"/>
    <xf numFmtId="0" applyNumberFormat="1" fontId="4" applyFont="1" fillId="4" applyFill="1" borderId="6" applyBorder="1" xfId="0" applyProtection="1" applyAlignment="1">
      <alignment horizontal="center"/>
    </xf>
    <xf numFmtId="0" applyNumberFormat="1" fontId="7" applyFont="1" fillId="0" applyFill="1" borderId="6" applyBorder="1" xfId="0" applyProtection="1"/>
    <xf numFmtId="167" applyNumberFormat="1" fontId="2" applyFont="1" fillId="0" applyFill="1" borderId="6" applyBorder="1" xfId="1" applyProtection="1"/>
    <xf numFmtId="170" applyNumberFormat="1" fontId="2" applyFont="1" fillId="0" applyFill="1" borderId="0" applyBorder="1" xfId="2" applyProtection="1"/>
    <xf numFmtId="0" applyNumberFormat="1" fontId="2" applyFont="1" fillId="0" applyFill="1" borderId="0" applyBorder="1" xfId="0" applyProtection="1" applyAlignment="1">
      <alignment horizontal="right"/>
    </xf>
    <xf numFmtId="0" applyNumberFormat="1" fontId="2" applyFont="1" fillId="4" applyFill="1" borderId="0" applyBorder="1" xfId="0" applyProtection="1"/>
    <xf numFmtId="14" applyNumberFormat="1" fontId="2" applyFont="1" fillId="4" applyFill="1" borderId="0" applyBorder="1" xfId="0" applyProtection="1"/>
    <xf numFmtId="167" applyNumberFormat="1" fontId="2" applyFont="1" fillId="4" applyFill="1" borderId="0" applyBorder="1" xfId="0" applyProtection="1"/>
    <xf numFmtId="167" applyNumberFormat="1" fontId="2" applyFont="1" fillId="4" applyFill="1" borderId="0" applyBorder="1" xfId="1" applyProtection="1"/>
    <xf numFmtId="167" applyNumberFormat="1" fontId="2" applyFont="1" fillId="4" applyFill="1" borderId="5" applyBorder="1" xfId="0" applyProtection="1"/>
    <xf numFmtId="167" applyNumberFormat="1" fontId="2" applyFont="1" fillId="4" applyFill="1" borderId="1" applyBorder="1" xfId="1" applyProtection="1"/>
    <xf numFmtId="167" applyNumberFormat="1" fontId="2" applyFont="1" fillId="2" applyFill="1" borderId="1" applyBorder="1" xfId="0" applyProtection="1"/>
    <xf numFmtId="167" applyNumberFormat="1" fontId="2" applyFont="1" fillId="2" applyFill="1" borderId="0" applyBorder="1" xfId="0" applyProtection="1"/>
    <xf numFmtId="14" applyNumberFormat="1" fontId="2" applyFont="1" fillId="0" applyFill="1" borderId="0" applyBorder="1" xfId="0" applyProtection="1">
      <alignment wrapText="1"/>
    </xf>
    <xf numFmtId="167" applyNumberFormat="1" fontId="2" applyFont="1" fillId="7" applyFill="1" borderId="1" applyBorder="1" xfId="1" applyProtection="1"/>
    <xf numFmtId="167" applyNumberFormat="1" fontId="2" applyFont="1" fillId="9" applyFill="1" borderId="0" applyBorder="1" xfId="1" applyProtection="1"/>
    <xf numFmtId="167" applyNumberFormat="1" fontId="2" applyFont="1" fillId="9" applyFill="1" borderId="0" applyBorder="1" xfId="0" applyProtection="1"/>
    <xf numFmtId="0" applyNumberFormat="1" fontId="2" applyFont="1" fillId="9" applyFill="1" borderId="0" applyBorder="1" xfId="0" applyProtection="1"/>
    <xf numFmtId="1" applyNumberFormat="1" fontId="1" applyFont="1" fillId="0" applyFill="1" borderId="0" applyBorder="1" xfId="0" applyProtection="1"/>
    <xf numFmtId="1" applyNumberFormat="1" fontId="1" applyFont="1" fillId="0" applyFill="1" borderId="0" applyBorder="1" xfId="0" applyProtection="1" applyAlignment="1">
      <alignment horizontal="right"/>
    </xf>
    <xf numFmtId="1" applyNumberFormat="1" fontId="1" applyFont="1" fillId="0" applyFill="1" borderId="0" applyBorder="1" xfId="0" applyProtection="1" applyAlignment="1">
      <alignment horizontal="center"/>
    </xf>
    <xf numFmtId="2" applyNumberFormat="1" fontId="1" applyFont="1" fillId="0" applyFill="1" borderId="0" applyBorder="1" xfId="0" applyProtection="1" applyAlignment="1">
      <alignment horizontal="right"/>
    </xf>
    <xf numFmtId="1" applyNumberFormat="1" fontId="2" applyFont="1" fillId="0" applyFill="1" borderId="0" applyBorder="1" xfId="0" applyProtection="1"/>
    <xf numFmtId="2" applyNumberFormat="1" fontId="2" applyFont="1" fillId="0" applyFill="1" borderId="0" applyBorder="1" xfId="0" applyProtection="1"/>
  </cellXfs>
  <cellStyles count="3">
    <cellStyle name="Normal" xfId="0" builtinId="0"/>
    <cellStyle name="Currency" xfId="1"/>
    <cellStyle name="Percent" xfId="2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sharedStrings" Target="sharedStrings.xml"/></Relationships>
</file>

<file path=xl/drawings/_rels/drawing8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333375</xdr:colOff>
      <xdr:row>6</xdr:row>
      <xdr:rowOff>38100</xdr:rowOff>
    </xdr:from>
    <xdr:to>
      <xdr:col>14</xdr:col>
      <xdr:colOff>952500</xdr:colOff>
      <xdr:row>13</xdr:row>
      <xdr:rowOff>47625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44370ED-5CB1-CE9C-7ED2-197C7815C30C}"/>
            </a:ext>
          </a:extLst>
        </xdr:cNvPr>
        <xdr:cNvSpPr txBox="1"/>
      </xdr:nvSpPr>
      <xdr:spPr>
        <a:xfrm>
          <a:off x="6572250" y="2162175"/>
          <a:ext cx="9201150" cy="1343025"/>
        </a:xfrm>
        <a:prstGeom prst="rect">
          <a:avLst/>
        </a:prstGeom>
        <a:solidFill>
          <a:srgbClr val="FF0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800"/>
            <a:t>Make sure to paste above into VM History Tab</a:t>
          </a:r>
          <a:r>
            <a:rPr lang="en-US" sz="1800" baseline="0"/>
            <a:t> or this sheet won't work the next day.</a:t>
          </a:r>
          <a:endParaRPr lang="en-US" sz="1800"/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200025</xdr:colOff>
      <xdr:row>356</xdr:row>
      <xdr:rowOff>152400</xdr:rowOff>
    </xdr:from>
    <xdr:to>
      <xdr:col>51</xdr:col>
      <xdr:colOff>285750</xdr:colOff>
      <xdr:row>370</xdr:row>
      <xdr:rowOff>161925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B7B373C-DAE6-49B0-8CBB-08F22E0FE1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878925" y="69970650"/>
          <a:ext cx="17770433" cy="2683322"/>
        </a:xfrm>
        <a:prstGeom prst="rect">
          <a:avLst/>
        </a:prstGeom>
      </xdr:spPr>
    </xdr:pic>
    <xdr:clientData/>
  </xdr:twoCellAnchor>
</xdr:wsDr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E49EA8-EF54-4571-AB5E-D908C32C56D2}">
  <sheetPr codeName="Sheet1"/>
  <dimension ref="A1:R500"/>
  <sheetViews>
    <sheetView workbookViewId="0">
      <selection activeCell="A441" sqref="A441"/>
    </sheetView>
  </sheetViews>
  <sheetFormatPr defaultColWidth="9.109375" defaultRowHeight="13.2" x14ac:dyDescent="0.25"/>
  <cols>
    <col min="1" max="1" width="36.5546875" customWidth="1" style="3"/>
    <col min="2" max="2" width="20" customWidth="1" style="3"/>
    <col min="3" max="3" width="31.6640625" customWidth="1" style="3"/>
    <col min="4" max="4" width="23.109375" customWidth="1" style="3"/>
    <col min="5" max="5" width="24.44140625" customWidth="1" style="3"/>
    <col min="6" max="6" width="20.33203125" customWidth="1" style="3"/>
    <col min="7" max="7" width="21" customWidth="1" style="3"/>
    <col min="8" max="8" width="10.6640625" customWidth="1" style="3"/>
    <col min="9" max="9" width="33.44140625" customWidth="1" style="3"/>
    <col min="10" max="10" width="33" customWidth="1" style="3"/>
    <col min="11" max="11" width="31.44140625" customWidth="1" style="3"/>
    <col min="12" max="12" width="14.5546875" customWidth="1" style="3"/>
    <col min="13" max="13" width="11.44140625" customWidth="1" style="3"/>
    <col min="14" max="14" width="28" customWidth="1" style="3"/>
    <col min="15" max="15" width="9.109375" customWidth="1" style="3"/>
    <col min="16" max="16" width="25.6640625" customWidth="1" style="3"/>
    <col min="17" max="17" width="31.6640625" customWidth="1" style="3"/>
    <col min="18" max="18" width="31.6640625" customWidth="1" style="3"/>
    <col min="19" max="16384" width="9.109375" customWidth="1" style="3"/>
  </cols>
  <sheetData>
    <row r="1" ht="15" customHeight="1" s="4" customFormat="1">
      <c r="A1" s="5"/>
    </row>
    <row r="2" ht="25.5" customHeight="1" s="4" customFormat="1">
      <c r="A2" s="6" t="s">
        <v>0</v>
      </c>
      <c r="B2" s="7" t="s">
        <v>1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</row>
    <row r="3" ht="15" customHeight="1" s="4" customFormat="1">
      <c r="A3" s="8" t="s">
        <v>2</v>
      </c>
      <c r="B3" s="8" t="s">
        <v>3</v>
      </c>
      <c r="C3" s="8" t="s">
        <v>4</v>
      </c>
      <c r="D3" s="8" t="s">
        <v>5</v>
      </c>
      <c r="E3" s="8" t="s">
        <v>6</v>
      </c>
      <c r="F3" s="8" t="s">
        <v>7</v>
      </c>
      <c r="G3" s="8" t="s">
        <v>8</v>
      </c>
      <c r="H3" s="8" t="s">
        <v>9</v>
      </c>
      <c r="I3" s="8" t="s">
        <v>10</v>
      </c>
      <c r="J3" s="8" t="s">
        <v>11</v>
      </c>
      <c r="K3" s="8" t="s">
        <v>12</v>
      </c>
      <c r="L3" s="8" t="s">
        <v>13</v>
      </c>
      <c r="M3" s="8" t="s">
        <v>14</v>
      </c>
      <c r="N3" s="8" t="s">
        <v>15</v>
      </c>
      <c r="O3" s="8" t="s">
        <v>16</v>
      </c>
      <c r="P3" s="8" t="s">
        <v>17</v>
      </c>
      <c r="Q3" s="8" t="s">
        <v>18</v>
      </c>
      <c r="R3" s="8" t="s">
        <v>19</v>
      </c>
    </row>
    <row r="4" ht="15" customHeight="1" s="4" customFormat="1">
      <c r="A4" s="9">
        <v>45875</v>
      </c>
      <c r="B4" s="72">
        <v>102702</v>
      </c>
      <c r="C4" s="11" t="s">
        <v>20</v>
      </c>
      <c r="D4" s="11" t="s">
        <v>21</v>
      </c>
      <c r="E4" s="9">
        <v>45818</v>
      </c>
      <c r="F4" s="73">
        <v>1</v>
      </c>
      <c r="G4" s="12" t="s">
        <v>20</v>
      </c>
      <c r="H4" s="11" t="s">
        <v>22</v>
      </c>
      <c r="I4" s="74">
        <v>16</v>
      </c>
      <c r="J4" s="11" t="s">
        <v>23</v>
      </c>
      <c r="K4" s="11" t="s">
        <v>24</v>
      </c>
      <c r="L4" s="74">
        <v>9</v>
      </c>
      <c r="M4" s="74">
        <v>25</v>
      </c>
      <c r="N4" s="11" t="s">
        <v>20</v>
      </c>
      <c r="O4" s="11" t="s">
        <v>20</v>
      </c>
      <c r="P4" s="12" t="s">
        <v>20</v>
      </c>
      <c r="Q4" s="73">
        <v>6079</v>
      </c>
      <c r="R4" s="73">
        <v>6371</v>
      </c>
    </row>
    <row r="5" ht="15" customHeight="1" s="4" customFormat="1">
      <c r="A5" s="9">
        <v>45875</v>
      </c>
      <c r="B5" s="72">
        <v>102702</v>
      </c>
      <c r="C5" s="11" t="s">
        <v>20</v>
      </c>
      <c r="D5" s="11" t="s">
        <v>21</v>
      </c>
      <c r="E5" s="9">
        <v>45818</v>
      </c>
      <c r="F5" s="73">
        <v>2</v>
      </c>
      <c r="G5" s="12" t="s">
        <v>20</v>
      </c>
      <c r="H5" s="11" t="s">
        <v>22</v>
      </c>
      <c r="I5" s="74">
        <v>16</v>
      </c>
      <c r="J5" s="11" t="s">
        <v>23</v>
      </c>
      <c r="K5" s="11" t="s">
        <v>24</v>
      </c>
      <c r="L5" s="74">
        <v>9</v>
      </c>
      <c r="M5" s="74">
        <v>25</v>
      </c>
      <c r="N5" s="11" t="s">
        <v>20</v>
      </c>
      <c r="O5" s="11" t="s">
        <v>20</v>
      </c>
      <c r="P5" s="12" t="s">
        <v>20</v>
      </c>
      <c r="Q5" s="75">
        <v>6079.5</v>
      </c>
      <c r="R5" s="73">
        <v>6371</v>
      </c>
    </row>
    <row r="6" ht="15" customHeight="1" s="4" customFormat="1">
      <c r="A6" s="9">
        <v>45875</v>
      </c>
      <c r="B6" s="72">
        <v>102703</v>
      </c>
      <c r="C6" s="11" t="s">
        <v>20</v>
      </c>
      <c r="D6" s="11" t="s">
        <v>21</v>
      </c>
      <c r="E6" s="9">
        <v>45818</v>
      </c>
      <c r="F6" s="73">
        <v>25</v>
      </c>
      <c r="G6" s="12" t="s">
        <v>20</v>
      </c>
      <c r="H6" s="11" t="s">
        <v>22</v>
      </c>
      <c r="I6" s="74">
        <v>16</v>
      </c>
      <c r="J6" s="11" t="s">
        <v>23</v>
      </c>
      <c r="K6" s="11" t="s">
        <v>24</v>
      </c>
      <c r="L6" s="74">
        <v>9</v>
      </c>
      <c r="M6" s="74">
        <v>25</v>
      </c>
      <c r="N6" s="11" t="s">
        <v>20</v>
      </c>
      <c r="O6" s="11" t="s">
        <v>20</v>
      </c>
      <c r="P6" s="12" t="s">
        <v>20</v>
      </c>
      <c r="Q6" s="73">
        <v>6064</v>
      </c>
      <c r="R6" s="73">
        <v>6371</v>
      </c>
    </row>
    <row r="7" ht="15" customHeight="1" s="4" customFormat="1">
      <c r="A7" s="9">
        <v>45875</v>
      </c>
      <c r="B7" s="72">
        <v>102702</v>
      </c>
      <c r="C7" s="11" t="s">
        <v>20</v>
      </c>
      <c r="D7" s="11" t="s">
        <v>21</v>
      </c>
      <c r="E7" s="9">
        <v>45818</v>
      </c>
      <c r="F7" s="73">
        <v>79</v>
      </c>
      <c r="G7" s="12" t="s">
        <v>20</v>
      </c>
      <c r="H7" s="11" t="s">
        <v>22</v>
      </c>
      <c r="I7" s="74">
        <v>16</v>
      </c>
      <c r="J7" s="11" t="s">
        <v>23</v>
      </c>
      <c r="K7" s="11" t="s">
        <v>24</v>
      </c>
      <c r="L7" s="74">
        <v>9</v>
      </c>
      <c r="M7" s="74">
        <v>25</v>
      </c>
      <c r="N7" s="11" t="s">
        <v>20</v>
      </c>
      <c r="O7" s="11" t="s">
        <v>20</v>
      </c>
      <c r="P7" s="12" t="s">
        <v>20</v>
      </c>
      <c r="Q7" s="73">
        <v>6064</v>
      </c>
      <c r="R7" s="73">
        <v>6371</v>
      </c>
    </row>
    <row r="8" ht="15" customHeight="1" s="4" customFormat="1">
      <c r="A8" s="9">
        <v>45875</v>
      </c>
      <c r="B8" s="72">
        <v>102702</v>
      </c>
      <c r="C8" s="11" t="s">
        <v>20</v>
      </c>
      <c r="D8" s="11" t="s">
        <v>21</v>
      </c>
      <c r="E8" s="9">
        <v>45819</v>
      </c>
      <c r="F8" s="73">
        <v>1</v>
      </c>
      <c r="G8" s="12" t="s">
        <v>20</v>
      </c>
      <c r="H8" s="11" t="s">
        <v>22</v>
      </c>
      <c r="I8" s="74">
        <v>16</v>
      </c>
      <c r="J8" s="11" t="s">
        <v>23</v>
      </c>
      <c r="K8" s="11" t="s">
        <v>24</v>
      </c>
      <c r="L8" s="74">
        <v>9</v>
      </c>
      <c r="M8" s="74">
        <v>25</v>
      </c>
      <c r="N8" s="11" t="s">
        <v>20</v>
      </c>
      <c r="O8" s="11" t="s">
        <v>20</v>
      </c>
      <c r="P8" s="12" t="s">
        <v>20</v>
      </c>
      <c r="Q8" s="75">
        <v>6112.25</v>
      </c>
      <c r="R8" s="73">
        <v>6371</v>
      </c>
    </row>
    <row r="9" ht="15" customHeight="1" s="4" customFormat="1">
      <c r="A9" s="9">
        <v>45875</v>
      </c>
      <c r="B9" s="72">
        <v>102703</v>
      </c>
      <c r="C9" s="11" t="s">
        <v>20</v>
      </c>
      <c r="D9" s="11" t="s">
        <v>21</v>
      </c>
      <c r="E9" s="9">
        <v>45820</v>
      </c>
      <c r="F9" s="73">
        <v>1</v>
      </c>
      <c r="G9" s="12" t="s">
        <v>20</v>
      </c>
      <c r="H9" s="11" t="s">
        <v>22</v>
      </c>
      <c r="I9" s="74">
        <v>16</v>
      </c>
      <c r="J9" s="11" t="s">
        <v>23</v>
      </c>
      <c r="K9" s="11" t="s">
        <v>24</v>
      </c>
      <c r="L9" s="74">
        <v>9</v>
      </c>
      <c r="M9" s="74">
        <v>25</v>
      </c>
      <c r="N9" s="11" t="s">
        <v>20</v>
      </c>
      <c r="O9" s="11" t="s">
        <v>20</v>
      </c>
      <c r="P9" s="12" t="s">
        <v>20</v>
      </c>
      <c r="Q9" s="75">
        <v>6092.75</v>
      </c>
      <c r="R9" s="73">
        <v>6371</v>
      </c>
    </row>
    <row r="10" ht="15" customHeight="1" s="4" customFormat="1">
      <c r="A10" s="9">
        <v>45875</v>
      </c>
      <c r="B10" s="72">
        <v>102702</v>
      </c>
      <c r="C10" s="11" t="s">
        <v>20</v>
      </c>
      <c r="D10" s="11" t="s">
        <v>21</v>
      </c>
      <c r="E10" s="9">
        <v>45820</v>
      </c>
      <c r="F10" s="73">
        <v>2</v>
      </c>
      <c r="G10" s="12" t="s">
        <v>20</v>
      </c>
      <c r="H10" s="11" t="s">
        <v>22</v>
      </c>
      <c r="I10" s="74">
        <v>16</v>
      </c>
      <c r="J10" s="11" t="s">
        <v>23</v>
      </c>
      <c r="K10" s="11" t="s">
        <v>24</v>
      </c>
      <c r="L10" s="74">
        <v>9</v>
      </c>
      <c r="M10" s="74">
        <v>25</v>
      </c>
      <c r="N10" s="11" t="s">
        <v>20</v>
      </c>
      <c r="O10" s="11" t="s">
        <v>20</v>
      </c>
      <c r="P10" s="12" t="s">
        <v>20</v>
      </c>
      <c r="Q10" s="75">
        <v>6092.75</v>
      </c>
      <c r="R10" s="73">
        <v>6371</v>
      </c>
    </row>
    <row r="11" ht="15" customHeight="1" s="4" customFormat="1">
      <c r="A11" s="9">
        <v>45875</v>
      </c>
      <c r="B11" s="72">
        <v>102702</v>
      </c>
      <c r="C11" s="11" t="s">
        <v>20</v>
      </c>
      <c r="D11" s="11" t="s">
        <v>21</v>
      </c>
      <c r="E11" s="9">
        <v>45821</v>
      </c>
      <c r="F11" s="73">
        <v>1</v>
      </c>
      <c r="G11" s="12" t="s">
        <v>20</v>
      </c>
      <c r="H11" s="11" t="s">
        <v>22</v>
      </c>
      <c r="I11" s="74">
        <v>16</v>
      </c>
      <c r="J11" s="11" t="s">
        <v>23</v>
      </c>
      <c r="K11" s="11" t="s">
        <v>24</v>
      </c>
      <c r="L11" s="74">
        <v>9</v>
      </c>
      <c r="M11" s="74">
        <v>25</v>
      </c>
      <c r="N11" s="11" t="s">
        <v>20</v>
      </c>
      <c r="O11" s="11" t="s">
        <v>20</v>
      </c>
      <c r="P11" s="12" t="s">
        <v>20</v>
      </c>
      <c r="Q11" s="75">
        <v>6039.5</v>
      </c>
      <c r="R11" s="73">
        <v>6371</v>
      </c>
    </row>
    <row r="12" ht="15" customHeight="1" s="4" customFormat="1">
      <c r="A12" s="9">
        <v>45875</v>
      </c>
      <c r="B12" s="72">
        <v>102702</v>
      </c>
      <c r="C12" s="11" t="s">
        <v>20</v>
      </c>
      <c r="D12" s="11" t="s">
        <v>21</v>
      </c>
      <c r="E12" s="9">
        <v>45821</v>
      </c>
      <c r="F12" s="73">
        <v>1</v>
      </c>
      <c r="G12" s="12" t="s">
        <v>20</v>
      </c>
      <c r="H12" s="11" t="s">
        <v>22</v>
      </c>
      <c r="I12" s="74">
        <v>16</v>
      </c>
      <c r="J12" s="11" t="s">
        <v>23</v>
      </c>
      <c r="K12" s="11" t="s">
        <v>24</v>
      </c>
      <c r="L12" s="74">
        <v>9</v>
      </c>
      <c r="M12" s="74">
        <v>25</v>
      </c>
      <c r="N12" s="11" t="s">
        <v>20</v>
      </c>
      <c r="O12" s="11" t="s">
        <v>20</v>
      </c>
      <c r="P12" s="12" t="s">
        <v>20</v>
      </c>
      <c r="Q12" s="75">
        <v>6040.5</v>
      </c>
      <c r="R12" s="73">
        <v>6371</v>
      </c>
    </row>
    <row r="13" ht="15" customHeight="1" s="4" customFormat="1">
      <c r="A13" s="9">
        <v>45875</v>
      </c>
      <c r="B13" s="72">
        <v>102702</v>
      </c>
      <c r="C13" s="11" t="s">
        <v>20</v>
      </c>
      <c r="D13" s="11" t="s">
        <v>21</v>
      </c>
      <c r="E13" s="9">
        <v>45821</v>
      </c>
      <c r="F13" s="73">
        <v>1</v>
      </c>
      <c r="G13" s="12" t="s">
        <v>20</v>
      </c>
      <c r="H13" s="11" t="s">
        <v>22</v>
      </c>
      <c r="I13" s="74">
        <v>16</v>
      </c>
      <c r="J13" s="11" t="s">
        <v>23</v>
      </c>
      <c r="K13" s="11" t="s">
        <v>24</v>
      </c>
      <c r="L13" s="74">
        <v>9</v>
      </c>
      <c r="M13" s="74">
        <v>25</v>
      </c>
      <c r="N13" s="11" t="s">
        <v>20</v>
      </c>
      <c r="O13" s="11" t="s">
        <v>20</v>
      </c>
      <c r="P13" s="12" t="s">
        <v>20</v>
      </c>
      <c r="Q13" s="75">
        <v>6038.75</v>
      </c>
      <c r="R13" s="73">
        <v>6371</v>
      </c>
    </row>
    <row r="14" ht="15" customHeight="1" s="4" customFormat="1">
      <c r="A14" s="9">
        <v>45875</v>
      </c>
      <c r="B14" s="72">
        <v>102702</v>
      </c>
      <c r="C14" s="11" t="s">
        <v>20</v>
      </c>
      <c r="D14" s="11" t="s">
        <v>21</v>
      </c>
      <c r="E14" s="9">
        <v>45821</v>
      </c>
      <c r="F14" s="73">
        <v>2</v>
      </c>
      <c r="G14" s="12" t="s">
        <v>20</v>
      </c>
      <c r="H14" s="11" t="s">
        <v>22</v>
      </c>
      <c r="I14" s="74">
        <v>16</v>
      </c>
      <c r="J14" s="11" t="s">
        <v>23</v>
      </c>
      <c r="K14" s="11" t="s">
        <v>24</v>
      </c>
      <c r="L14" s="74">
        <v>9</v>
      </c>
      <c r="M14" s="74">
        <v>25</v>
      </c>
      <c r="N14" s="11" t="s">
        <v>20</v>
      </c>
      <c r="O14" s="11" t="s">
        <v>20</v>
      </c>
      <c r="P14" s="12" t="s">
        <v>20</v>
      </c>
      <c r="Q14" s="75">
        <v>6039.75</v>
      </c>
      <c r="R14" s="73">
        <v>6371</v>
      </c>
    </row>
    <row r="15" ht="15" customHeight="1" s="4" customFormat="1">
      <c r="A15" s="9">
        <v>45875</v>
      </c>
      <c r="B15" s="72">
        <v>102703</v>
      </c>
      <c r="C15" s="11" t="s">
        <v>20</v>
      </c>
      <c r="D15" s="11" t="s">
        <v>21</v>
      </c>
      <c r="E15" s="9">
        <v>45824</v>
      </c>
      <c r="F15" s="73">
        <v>1</v>
      </c>
      <c r="G15" s="12" t="s">
        <v>20</v>
      </c>
      <c r="H15" s="11" t="s">
        <v>22</v>
      </c>
      <c r="I15" s="74">
        <v>16</v>
      </c>
      <c r="J15" s="11" t="s">
        <v>23</v>
      </c>
      <c r="K15" s="11" t="s">
        <v>24</v>
      </c>
      <c r="L15" s="74">
        <v>9</v>
      </c>
      <c r="M15" s="74">
        <v>25</v>
      </c>
      <c r="N15" s="11" t="s">
        <v>20</v>
      </c>
      <c r="O15" s="11" t="s">
        <v>20</v>
      </c>
      <c r="P15" s="12" t="s">
        <v>20</v>
      </c>
      <c r="Q15" s="73">
        <v>6103</v>
      </c>
      <c r="R15" s="73">
        <v>6371</v>
      </c>
    </row>
    <row r="16" ht="15" customHeight="1" s="4" customFormat="1">
      <c r="A16" s="9">
        <v>45875</v>
      </c>
      <c r="B16" s="72">
        <v>102703</v>
      </c>
      <c r="C16" s="11" t="s">
        <v>20</v>
      </c>
      <c r="D16" s="11" t="s">
        <v>21</v>
      </c>
      <c r="E16" s="9">
        <v>45824</v>
      </c>
      <c r="F16" s="73">
        <v>2</v>
      </c>
      <c r="G16" s="12" t="s">
        <v>20</v>
      </c>
      <c r="H16" s="11" t="s">
        <v>22</v>
      </c>
      <c r="I16" s="74">
        <v>16</v>
      </c>
      <c r="J16" s="11" t="s">
        <v>23</v>
      </c>
      <c r="K16" s="11" t="s">
        <v>24</v>
      </c>
      <c r="L16" s="74">
        <v>9</v>
      </c>
      <c r="M16" s="74">
        <v>25</v>
      </c>
      <c r="N16" s="11" t="s">
        <v>20</v>
      </c>
      <c r="O16" s="11" t="s">
        <v>20</v>
      </c>
      <c r="P16" s="12" t="s">
        <v>20</v>
      </c>
      <c r="Q16" s="75">
        <v>6103.25</v>
      </c>
      <c r="R16" s="73">
        <v>6371</v>
      </c>
    </row>
    <row r="17" ht="15" customHeight="1" s="4" customFormat="1">
      <c r="A17" s="9">
        <v>45875</v>
      </c>
      <c r="B17" s="72">
        <v>102702</v>
      </c>
      <c r="C17" s="11" t="s">
        <v>20</v>
      </c>
      <c r="D17" s="11" t="s">
        <v>21</v>
      </c>
      <c r="E17" s="9">
        <v>45825</v>
      </c>
      <c r="F17" s="73">
        <v>1</v>
      </c>
      <c r="G17" s="12" t="s">
        <v>20</v>
      </c>
      <c r="H17" s="11" t="s">
        <v>22</v>
      </c>
      <c r="I17" s="74">
        <v>16</v>
      </c>
      <c r="J17" s="11" t="s">
        <v>23</v>
      </c>
      <c r="K17" s="11" t="s">
        <v>24</v>
      </c>
      <c r="L17" s="74">
        <v>9</v>
      </c>
      <c r="M17" s="74">
        <v>25</v>
      </c>
      <c r="N17" s="11" t="s">
        <v>20</v>
      </c>
      <c r="O17" s="11" t="s">
        <v>20</v>
      </c>
      <c r="P17" s="12" t="s">
        <v>20</v>
      </c>
      <c r="Q17" s="75">
        <v>6076.25</v>
      </c>
      <c r="R17" s="73">
        <v>6371</v>
      </c>
    </row>
    <row r="18" ht="15" customHeight="1" s="4" customFormat="1">
      <c r="A18" s="9">
        <v>45875</v>
      </c>
      <c r="B18" s="72">
        <v>102703</v>
      </c>
      <c r="C18" s="11" t="s">
        <v>20</v>
      </c>
      <c r="D18" s="11" t="s">
        <v>21</v>
      </c>
      <c r="E18" s="9">
        <v>45825</v>
      </c>
      <c r="F18" s="73">
        <v>1</v>
      </c>
      <c r="G18" s="12" t="s">
        <v>20</v>
      </c>
      <c r="H18" s="11" t="s">
        <v>22</v>
      </c>
      <c r="I18" s="74">
        <v>16</v>
      </c>
      <c r="J18" s="11" t="s">
        <v>23</v>
      </c>
      <c r="K18" s="11" t="s">
        <v>24</v>
      </c>
      <c r="L18" s="74">
        <v>9</v>
      </c>
      <c r="M18" s="74">
        <v>25</v>
      </c>
      <c r="N18" s="11" t="s">
        <v>20</v>
      </c>
      <c r="O18" s="11" t="s">
        <v>20</v>
      </c>
      <c r="P18" s="12" t="s">
        <v>20</v>
      </c>
      <c r="Q18" s="75">
        <v>6076.25</v>
      </c>
      <c r="R18" s="73">
        <v>6371</v>
      </c>
    </row>
    <row r="19" ht="15" customHeight="1" s="4" customFormat="1">
      <c r="A19" s="9">
        <v>45875</v>
      </c>
      <c r="B19" s="72">
        <v>102702</v>
      </c>
      <c r="C19" s="11" t="s">
        <v>20</v>
      </c>
      <c r="D19" s="11" t="s">
        <v>21</v>
      </c>
      <c r="E19" s="9">
        <v>45825</v>
      </c>
      <c r="F19" s="73">
        <v>3</v>
      </c>
      <c r="G19" s="12" t="s">
        <v>20</v>
      </c>
      <c r="H19" s="11" t="s">
        <v>22</v>
      </c>
      <c r="I19" s="74">
        <v>16</v>
      </c>
      <c r="J19" s="11" t="s">
        <v>23</v>
      </c>
      <c r="K19" s="11" t="s">
        <v>24</v>
      </c>
      <c r="L19" s="74">
        <v>9</v>
      </c>
      <c r="M19" s="74">
        <v>25</v>
      </c>
      <c r="N19" s="11" t="s">
        <v>20</v>
      </c>
      <c r="O19" s="11" t="s">
        <v>20</v>
      </c>
      <c r="P19" s="12" t="s">
        <v>20</v>
      </c>
      <c r="Q19" s="73">
        <v>6076</v>
      </c>
      <c r="R19" s="73">
        <v>6371</v>
      </c>
    </row>
    <row r="20" ht="15" customHeight="1" s="4" customFormat="1">
      <c r="A20" s="9">
        <v>45875</v>
      </c>
      <c r="B20" s="72">
        <v>102703</v>
      </c>
      <c r="C20" s="11" t="s">
        <v>20</v>
      </c>
      <c r="D20" s="11" t="s">
        <v>21</v>
      </c>
      <c r="E20" s="9">
        <v>45825</v>
      </c>
      <c r="F20" s="73">
        <v>4</v>
      </c>
      <c r="G20" s="12" t="s">
        <v>20</v>
      </c>
      <c r="H20" s="11" t="s">
        <v>22</v>
      </c>
      <c r="I20" s="74">
        <v>16</v>
      </c>
      <c r="J20" s="11" t="s">
        <v>23</v>
      </c>
      <c r="K20" s="11" t="s">
        <v>24</v>
      </c>
      <c r="L20" s="74">
        <v>9</v>
      </c>
      <c r="M20" s="74">
        <v>25</v>
      </c>
      <c r="N20" s="11" t="s">
        <v>20</v>
      </c>
      <c r="O20" s="11" t="s">
        <v>20</v>
      </c>
      <c r="P20" s="12" t="s">
        <v>20</v>
      </c>
      <c r="Q20" s="73">
        <v>6076</v>
      </c>
      <c r="R20" s="73">
        <v>6371</v>
      </c>
    </row>
    <row r="21" ht="15" customHeight="1" s="4" customFormat="1">
      <c r="A21" s="9">
        <v>45875</v>
      </c>
      <c r="B21" s="72">
        <v>102702</v>
      </c>
      <c r="C21" s="11" t="s">
        <v>20</v>
      </c>
      <c r="D21" s="11" t="s">
        <v>21</v>
      </c>
      <c r="E21" s="9">
        <v>45826</v>
      </c>
      <c r="F21" s="73">
        <v>1</v>
      </c>
      <c r="G21" s="12" t="s">
        <v>20</v>
      </c>
      <c r="H21" s="11" t="s">
        <v>22</v>
      </c>
      <c r="I21" s="74">
        <v>16</v>
      </c>
      <c r="J21" s="11" t="s">
        <v>23</v>
      </c>
      <c r="K21" s="11" t="s">
        <v>24</v>
      </c>
      <c r="L21" s="74">
        <v>9</v>
      </c>
      <c r="M21" s="74">
        <v>25</v>
      </c>
      <c r="N21" s="11" t="s">
        <v>20</v>
      </c>
      <c r="O21" s="11" t="s">
        <v>20</v>
      </c>
      <c r="P21" s="12" t="s">
        <v>20</v>
      </c>
      <c r="Q21" s="75">
        <v>6072.25</v>
      </c>
      <c r="R21" s="73">
        <v>6371</v>
      </c>
    </row>
    <row r="22" ht="15" customHeight="1" s="4" customFormat="1">
      <c r="A22" s="9">
        <v>45875</v>
      </c>
      <c r="B22" s="72">
        <v>102702</v>
      </c>
      <c r="C22" s="11" t="s">
        <v>20</v>
      </c>
      <c r="D22" s="11" t="s">
        <v>21</v>
      </c>
      <c r="E22" s="9">
        <v>45826</v>
      </c>
      <c r="F22" s="73">
        <v>2</v>
      </c>
      <c r="G22" s="12" t="s">
        <v>20</v>
      </c>
      <c r="H22" s="11" t="s">
        <v>22</v>
      </c>
      <c r="I22" s="74">
        <v>16</v>
      </c>
      <c r="J22" s="11" t="s">
        <v>23</v>
      </c>
      <c r="K22" s="11" t="s">
        <v>24</v>
      </c>
      <c r="L22" s="74">
        <v>9</v>
      </c>
      <c r="M22" s="74">
        <v>25</v>
      </c>
      <c r="N22" s="11" t="s">
        <v>20</v>
      </c>
      <c r="O22" s="11" t="s">
        <v>20</v>
      </c>
      <c r="P22" s="12" t="s">
        <v>20</v>
      </c>
      <c r="Q22" s="73">
        <v>6072</v>
      </c>
      <c r="R22" s="73">
        <v>6371</v>
      </c>
    </row>
    <row r="23" ht="15" customHeight="1" s="4" customFormat="1">
      <c r="A23" s="9">
        <v>45875</v>
      </c>
      <c r="B23" s="72">
        <v>102702</v>
      </c>
      <c r="C23" s="11" t="s">
        <v>20</v>
      </c>
      <c r="D23" s="11" t="s">
        <v>21</v>
      </c>
      <c r="E23" s="9">
        <v>45826</v>
      </c>
      <c r="F23" s="73">
        <v>3</v>
      </c>
      <c r="G23" s="12" t="s">
        <v>20</v>
      </c>
      <c r="H23" s="11" t="s">
        <v>22</v>
      </c>
      <c r="I23" s="74">
        <v>16</v>
      </c>
      <c r="J23" s="11" t="s">
        <v>23</v>
      </c>
      <c r="K23" s="11" t="s">
        <v>24</v>
      </c>
      <c r="L23" s="74">
        <v>9</v>
      </c>
      <c r="M23" s="74">
        <v>25</v>
      </c>
      <c r="N23" s="11" t="s">
        <v>20</v>
      </c>
      <c r="O23" s="11" t="s">
        <v>20</v>
      </c>
      <c r="P23" s="12" t="s">
        <v>20</v>
      </c>
      <c r="Q23" s="73">
        <v>6068</v>
      </c>
      <c r="R23" s="73">
        <v>6371</v>
      </c>
    </row>
    <row r="24" ht="15" customHeight="1" s="4" customFormat="1">
      <c r="A24" s="9">
        <v>45875</v>
      </c>
      <c r="B24" s="72">
        <v>102702</v>
      </c>
      <c r="C24" s="11" t="s">
        <v>20</v>
      </c>
      <c r="D24" s="11" t="s">
        <v>21</v>
      </c>
      <c r="E24" s="9">
        <v>45826</v>
      </c>
      <c r="F24" s="73">
        <v>6</v>
      </c>
      <c r="G24" s="12" t="s">
        <v>20</v>
      </c>
      <c r="H24" s="11" t="s">
        <v>22</v>
      </c>
      <c r="I24" s="74">
        <v>16</v>
      </c>
      <c r="J24" s="11" t="s">
        <v>23</v>
      </c>
      <c r="K24" s="11" t="s">
        <v>24</v>
      </c>
      <c r="L24" s="74">
        <v>9</v>
      </c>
      <c r="M24" s="74">
        <v>25</v>
      </c>
      <c r="N24" s="11" t="s">
        <v>20</v>
      </c>
      <c r="O24" s="11" t="s">
        <v>20</v>
      </c>
      <c r="P24" s="12" t="s">
        <v>20</v>
      </c>
      <c r="Q24" s="75">
        <v>6071.75</v>
      </c>
      <c r="R24" s="73">
        <v>6371</v>
      </c>
    </row>
    <row r="25" ht="15" customHeight="1" s="4" customFormat="1">
      <c r="A25" s="9">
        <v>45875</v>
      </c>
      <c r="B25" s="72">
        <v>102702</v>
      </c>
      <c r="C25" s="11" t="s">
        <v>20</v>
      </c>
      <c r="D25" s="11" t="s">
        <v>21</v>
      </c>
      <c r="E25" s="9">
        <v>45831</v>
      </c>
      <c r="F25" s="73">
        <v>2</v>
      </c>
      <c r="G25" s="12" t="s">
        <v>20</v>
      </c>
      <c r="H25" s="11" t="s">
        <v>22</v>
      </c>
      <c r="I25" s="74">
        <v>16</v>
      </c>
      <c r="J25" s="11" t="s">
        <v>23</v>
      </c>
      <c r="K25" s="11" t="s">
        <v>24</v>
      </c>
      <c r="L25" s="74">
        <v>9</v>
      </c>
      <c r="M25" s="74">
        <v>25</v>
      </c>
      <c r="N25" s="11" t="s">
        <v>20</v>
      </c>
      <c r="O25" s="11" t="s">
        <v>20</v>
      </c>
      <c r="P25" s="12" t="s">
        <v>20</v>
      </c>
      <c r="Q25" s="75">
        <v>6056.5</v>
      </c>
      <c r="R25" s="73">
        <v>6371</v>
      </c>
    </row>
    <row r="26" ht="15" customHeight="1" s="4" customFormat="1">
      <c r="A26" s="9">
        <v>45875</v>
      </c>
      <c r="B26" s="72">
        <v>102702</v>
      </c>
      <c r="C26" s="11" t="s">
        <v>20</v>
      </c>
      <c r="D26" s="11" t="s">
        <v>21</v>
      </c>
      <c r="E26" s="9">
        <v>45832</v>
      </c>
      <c r="F26" s="73">
        <v>1</v>
      </c>
      <c r="G26" s="12" t="s">
        <v>20</v>
      </c>
      <c r="H26" s="11" t="s">
        <v>22</v>
      </c>
      <c r="I26" s="74">
        <v>16</v>
      </c>
      <c r="J26" s="11" t="s">
        <v>23</v>
      </c>
      <c r="K26" s="11" t="s">
        <v>24</v>
      </c>
      <c r="L26" s="74">
        <v>9</v>
      </c>
      <c r="M26" s="74">
        <v>25</v>
      </c>
      <c r="N26" s="11" t="s">
        <v>20</v>
      </c>
      <c r="O26" s="11" t="s">
        <v>20</v>
      </c>
      <c r="P26" s="12" t="s">
        <v>20</v>
      </c>
      <c r="Q26" s="75">
        <v>6132.5</v>
      </c>
      <c r="R26" s="73">
        <v>6371</v>
      </c>
    </row>
    <row r="27" ht="15" customHeight="1" s="4" customFormat="1">
      <c r="A27" s="9">
        <v>45875</v>
      </c>
      <c r="B27" s="72">
        <v>102703</v>
      </c>
      <c r="C27" s="11" t="s">
        <v>20</v>
      </c>
      <c r="D27" s="11" t="s">
        <v>21</v>
      </c>
      <c r="E27" s="9">
        <v>45832</v>
      </c>
      <c r="F27" s="73">
        <v>2</v>
      </c>
      <c r="G27" s="12" t="s">
        <v>20</v>
      </c>
      <c r="H27" s="11" t="s">
        <v>22</v>
      </c>
      <c r="I27" s="74">
        <v>16</v>
      </c>
      <c r="J27" s="11" t="s">
        <v>23</v>
      </c>
      <c r="K27" s="11" t="s">
        <v>24</v>
      </c>
      <c r="L27" s="74">
        <v>9</v>
      </c>
      <c r="M27" s="74">
        <v>25</v>
      </c>
      <c r="N27" s="11" t="s">
        <v>20</v>
      </c>
      <c r="O27" s="11" t="s">
        <v>20</v>
      </c>
      <c r="P27" s="12" t="s">
        <v>20</v>
      </c>
      <c r="Q27" s="75">
        <v>6132.5</v>
      </c>
      <c r="R27" s="73">
        <v>6371</v>
      </c>
    </row>
    <row r="28" ht="15" customHeight="1" s="4" customFormat="1">
      <c r="A28" s="9">
        <v>45875</v>
      </c>
      <c r="B28" s="72">
        <v>102703</v>
      </c>
      <c r="C28" s="11" t="s">
        <v>20</v>
      </c>
      <c r="D28" s="11" t="s">
        <v>21</v>
      </c>
      <c r="E28" s="9">
        <v>45833</v>
      </c>
      <c r="F28" s="73">
        <v>2</v>
      </c>
      <c r="G28" s="12" t="s">
        <v>20</v>
      </c>
      <c r="H28" s="11" t="s">
        <v>22</v>
      </c>
      <c r="I28" s="74">
        <v>16</v>
      </c>
      <c r="J28" s="11" t="s">
        <v>23</v>
      </c>
      <c r="K28" s="11" t="s">
        <v>24</v>
      </c>
      <c r="L28" s="74">
        <v>9</v>
      </c>
      <c r="M28" s="74">
        <v>25</v>
      </c>
      <c r="N28" s="11" t="s">
        <v>20</v>
      </c>
      <c r="O28" s="11" t="s">
        <v>20</v>
      </c>
      <c r="P28" s="12" t="s">
        <v>20</v>
      </c>
      <c r="Q28" s="73">
        <v>6153</v>
      </c>
      <c r="R28" s="73">
        <v>6371</v>
      </c>
    </row>
    <row r="29" ht="15" customHeight="1" s="4" customFormat="1">
      <c r="A29" s="9">
        <v>45875</v>
      </c>
      <c r="B29" s="72">
        <v>102702</v>
      </c>
      <c r="C29" s="11" t="s">
        <v>20</v>
      </c>
      <c r="D29" s="11" t="s">
        <v>21</v>
      </c>
      <c r="E29" s="9">
        <v>45833</v>
      </c>
      <c r="F29" s="73">
        <v>2</v>
      </c>
      <c r="G29" s="12" t="s">
        <v>20</v>
      </c>
      <c r="H29" s="11" t="s">
        <v>22</v>
      </c>
      <c r="I29" s="74">
        <v>16</v>
      </c>
      <c r="J29" s="11" t="s">
        <v>23</v>
      </c>
      <c r="K29" s="11" t="s">
        <v>24</v>
      </c>
      <c r="L29" s="74">
        <v>9</v>
      </c>
      <c r="M29" s="74">
        <v>25</v>
      </c>
      <c r="N29" s="11" t="s">
        <v>20</v>
      </c>
      <c r="O29" s="11" t="s">
        <v>20</v>
      </c>
      <c r="P29" s="12" t="s">
        <v>20</v>
      </c>
      <c r="Q29" s="75">
        <v>6152.75</v>
      </c>
      <c r="R29" s="73">
        <v>6371</v>
      </c>
    </row>
    <row r="30" ht="15" customHeight="1" s="4" customFormat="1">
      <c r="A30" s="9">
        <v>45875</v>
      </c>
      <c r="B30" s="72">
        <v>102702</v>
      </c>
      <c r="C30" s="11" t="s">
        <v>20</v>
      </c>
      <c r="D30" s="11" t="s">
        <v>21</v>
      </c>
      <c r="E30" s="9">
        <v>45833</v>
      </c>
      <c r="F30" s="73">
        <v>4</v>
      </c>
      <c r="G30" s="12" t="s">
        <v>20</v>
      </c>
      <c r="H30" s="11" t="s">
        <v>22</v>
      </c>
      <c r="I30" s="74">
        <v>16</v>
      </c>
      <c r="J30" s="11" t="s">
        <v>23</v>
      </c>
      <c r="K30" s="11" t="s">
        <v>24</v>
      </c>
      <c r="L30" s="74">
        <v>9</v>
      </c>
      <c r="M30" s="74">
        <v>25</v>
      </c>
      <c r="N30" s="11" t="s">
        <v>20</v>
      </c>
      <c r="O30" s="11" t="s">
        <v>20</v>
      </c>
      <c r="P30" s="12" t="s">
        <v>20</v>
      </c>
      <c r="Q30" s="73">
        <v>6153</v>
      </c>
      <c r="R30" s="73">
        <v>6371</v>
      </c>
    </row>
    <row r="31" ht="15" customHeight="1" s="4" customFormat="1">
      <c r="A31" s="9">
        <v>45875</v>
      </c>
      <c r="B31" s="72">
        <v>102702</v>
      </c>
      <c r="C31" s="11" t="s">
        <v>20</v>
      </c>
      <c r="D31" s="11" t="s">
        <v>21</v>
      </c>
      <c r="E31" s="9">
        <v>45833</v>
      </c>
      <c r="F31" s="73">
        <v>4</v>
      </c>
      <c r="G31" s="12" t="s">
        <v>20</v>
      </c>
      <c r="H31" s="11" t="s">
        <v>22</v>
      </c>
      <c r="I31" s="74">
        <v>16</v>
      </c>
      <c r="J31" s="11" t="s">
        <v>23</v>
      </c>
      <c r="K31" s="11" t="s">
        <v>24</v>
      </c>
      <c r="L31" s="74">
        <v>9</v>
      </c>
      <c r="M31" s="74">
        <v>25</v>
      </c>
      <c r="N31" s="11" t="s">
        <v>20</v>
      </c>
      <c r="O31" s="11" t="s">
        <v>20</v>
      </c>
      <c r="P31" s="12" t="s">
        <v>20</v>
      </c>
      <c r="Q31" s="75">
        <v>6153.25</v>
      </c>
      <c r="R31" s="73">
        <v>6371</v>
      </c>
    </row>
    <row r="32" ht="15" customHeight="1" s="4" customFormat="1">
      <c r="A32" s="9">
        <v>45875</v>
      </c>
      <c r="B32" s="72">
        <v>102703</v>
      </c>
      <c r="C32" s="11" t="s">
        <v>20</v>
      </c>
      <c r="D32" s="11" t="s">
        <v>21</v>
      </c>
      <c r="E32" s="9">
        <v>45834</v>
      </c>
      <c r="F32" s="73">
        <v>2</v>
      </c>
      <c r="G32" s="12" t="s">
        <v>20</v>
      </c>
      <c r="H32" s="11" t="s">
        <v>22</v>
      </c>
      <c r="I32" s="74">
        <v>16</v>
      </c>
      <c r="J32" s="11" t="s">
        <v>23</v>
      </c>
      <c r="K32" s="11" t="s">
        <v>24</v>
      </c>
      <c r="L32" s="74">
        <v>9</v>
      </c>
      <c r="M32" s="74">
        <v>25</v>
      </c>
      <c r="N32" s="11" t="s">
        <v>20</v>
      </c>
      <c r="O32" s="11" t="s">
        <v>20</v>
      </c>
      <c r="P32" s="12" t="s">
        <v>20</v>
      </c>
      <c r="Q32" s="75">
        <v>6177.75</v>
      </c>
      <c r="R32" s="73">
        <v>6371</v>
      </c>
    </row>
    <row r="33" ht="15" customHeight="1" s="4" customFormat="1">
      <c r="A33" s="9">
        <v>45875</v>
      </c>
      <c r="B33" s="72">
        <v>102702</v>
      </c>
      <c r="C33" s="11" t="s">
        <v>20</v>
      </c>
      <c r="D33" s="11" t="s">
        <v>21</v>
      </c>
      <c r="E33" s="9">
        <v>45834</v>
      </c>
      <c r="F33" s="73">
        <v>7</v>
      </c>
      <c r="G33" s="12" t="s">
        <v>20</v>
      </c>
      <c r="H33" s="11" t="s">
        <v>22</v>
      </c>
      <c r="I33" s="74">
        <v>16</v>
      </c>
      <c r="J33" s="11" t="s">
        <v>23</v>
      </c>
      <c r="K33" s="11" t="s">
        <v>24</v>
      </c>
      <c r="L33" s="74">
        <v>9</v>
      </c>
      <c r="M33" s="74">
        <v>25</v>
      </c>
      <c r="N33" s="11" t="s">
        <v>20</v>
      </c>
      <c r="O33" s="11" t="s">
        <v>20</v>
      </c>
      <c r="P33" s="12" t="s">
        <v>20</v>
      </c>
      <c r="Q33" s="75">
        <v>6177.75</v>
      </c>
      <c r="R33" s="73">
        <v>6371</v>
      </c>
    </row>
    <row r="34" ht="15" customHeight="1" s="4" customFormat="1">
      <c r="A34" s="9">
        <v>45875</v>
      </c>
      <c r="B34" s="72">
        <v>102703</v>
      </c>
      <c r="C34" s="11" t="s">
        <v>20</v>
      </c>
      <c r="D34" s="11" t="s">
        <v>21</v>
      </c>
      <c r="E34" s="9">
        <v>45835</v>
      </c>
      <c r="F34" s="73">
        <v>3</v>
      </c>
      <c r="G34" s="12" t="s">
        <v>20</v>
      </c>
      <c r="H34" s="11" t="s">
        <v>22</v>
      </c>
      <c r="I34" s="74">
        <v>16</v>
      </c>
      <c r="J34" s="11" t="s">
        <v>23</v>
      </c>
      <c r="K34" s="11" t="s">
        <v>24</v>
      </c>
      <c r="L34" s="74">
        <v>9</v>
      </c>
      <c r="M34" s="74">
        <v>25</v>
      </c>
      <c r="N34" s="11" t="s">
        <v>20</v>
      </c>
      <c r="O34" s="11" t="s">
        <v>20</v>
      </c>
      <c r="P34" s="12" t="s">
        <v>20</v>
      </c>
      <c r="Q34" s="73">
        <v>6224</v>
      </c>
      <c r="R34" s="73">
        <v>6371</v>
      </c>
    </row>
    <row r="35" ht="15" customHeight="1" s="4" customFormat="1">
      <c r="A35" s="9">
        <v>45875</v>
      </c>
      <c r="B35" s="72">
        <v>102703</v>
      </c>
      <c r="C35" s="11" t="s">
        <v>20</v>
      </c>
      <c r="D35" s="11" t="s">
        <v>21</v>
      </c>
      <c r="E35" s="9">
        <v>45835</v>
      </c>
      <c r="F35" s="73">
        <v>4</v>
      </c>
      <c r="G35" s="12" t="s">
        <v>20</v>
      </c>
      <c r="H35" s="11" t="s">
        <v>22</v>
      </c>
      <c r="I35" s="74">
        <v>16</v>
      </c>
      <c r="J35" s="11" t="s">
        <v>23</v>
      </c>
      <c r="K35" s="11" t="s">
        <v>24</v>
      </c>
      <c r="L35" s="74">
        <v>9</v>
      </c>
      <c r="M35" s="74">
        <v>25</v>
      </c>
      <c r="N35" s="11" t="s">
        <v>20</v>
      </c>
      <c r="O35" s="11" t="s">
        <v>20</v>
      </c>
      <c r="P35" s="12" t="s">
        <v>20</v>
      </c>
      <c r="Q35" s="75">
        <v>6223.75</v>
      </c>
      <c r="R35" s="73">
        <v>6371</v>
      </c>
    </row>
    <row r="36" ht="15" customHeight="1" s="4" customFormat="1">
      <c r="A36" s="9">
        <v>45875</v>
      </c>
      <c r="B36" s="72">
        <v>102702</v>
      </c>
      <c r="C36" s="11" t="s">
        <v>20</v>
      </c>
      <c r="D36" s="11" t="s">
        <v>21</v>
      </c>
      <c r="E36" s="9">
        <v>45838</v>
      </c>
      <c r="F36" s="73">
        <v>5</v>
      </c>
      <c r="G36" s="12" t="s">
        <v>20</v>
      </c>
      <c r="H36" s="11" t="s">
        <v>22</v>
      </c>
      <c r="I36" s="74">
        <v>16</v>
      </c>
      <c r="J36" s="11" t="s">
        <v>23</v>
      </c>
      <c r="K36" s="11" t="s">
        <v>24</v>
      </c>
      <c r="L36" s="74">
        <v>9</v>
      </c>
      <c r="M36" s="74">
        <v>25</v>
      </c>
      <c r="N36" s="11" t="s">
        <v>20</v>
      </c>
      <c r="O36" s="11" t="s">
        <v>20</v>
      </c>
      <c r="P36" s="12" t="s">
        <v>20</v>
      </c>
      <c r="Q36" s="75">
        <v>6238.25</v>
      </c>
      <c r="R36" s="73">
        <v>6371</v>
      </c>
    </row>
    <row r="37" ht="15" customHeight="1" s="4" customFormat="1">
      <c r="A37" s="9">
        <v>45875</v>
      </c>
      <c r="B37" s="72">
        <v>102702</v>
      </c>
      <c r="C37" s="11" t="s">
        <v>20</v>
      </c>
      <c r="D37" s="11" t="s">
        <v>21</v>
      </c>
      <c r="E37" s="9">
        <v>45839</v>
      </c>
      <c r="F37" s="73">
        <v>1</v>
      </c>
      <c r="G37" s="12" t="s">
        <v>20</v>
      </c>
      <c r="H37" s="11" t="s">
        <v>22</v>
      </c>
      <c r="I37" s="74">
        <v>16</v>
      </c>
      <c r="J37" s="11" t="s">
        <v>23</v>
      </c>
      <c r="K37" s="11" t="s">
        <v>24</v>
      </c>
      <c r="L37" s="74">
        <v>9</v>
      </c>
      <c r="M37" s="74">
        <v>25</v>
      </c>
      <c r="N37" s="11" t="s">
        <v>20</v>
      </c>
      <c r="O37" s="11" t="s">
        <v>20</v>
      </c>
      <c r="P37" s="12" t="s">
        <v>20</v>
      </c>
      <c r="Q37" s="75">
        <v>6243.75</v>
      </c>
      <c r="R37" s="73">
        <v>6371</v>
      </c>
    </row>
    <row r="38" ht="15" customHeight="1" s="4" customFormat="1">
      <c r="A38" s="9">
        <v>45875</v>
      </c>
      <c r="B38" s="72">
        <v>102702</v>
      </c>
      <c r="C38" s="11" t="s">
        <v>20</v>
      </c>
      <c r="D38" s="11" t="s">
        <v>21</v>
      </c>
      <c r="E38" s="9">
        <v>45839</v>
      </c>
      <c r="F38" s="73">
        <v>4</v>
      </c>
      <c r="G38" s="12" t="s">
        <v>20</v>
      </c>
      <c r="H38" s="11" t="s">
        <v>22</v>
      </c>
      <c r="I38" s="74">
        <v>16</v>
      </c>
      <c r="J38" s="11" t="s">
        <v>23</v>
      </c>
      <c r="K38" s="11" t="s">
        <v>24</v>
      </c>
      <c r="L38" s="74">
        <v>9</v>
      </c>
      <c r="M38" s="74">
        <v>25</v>
      </c>
      <c r="N38" s="11" t="s">
        <v>20</v>
      </c>
      <c r="O38" s="11" t="s">
        <v>20</v>
      </c>
      <c r="P38" s="12" t="s">
        <v>20</v>
      </c>
      <c r="Q38" s="73">
        <v>6244</v>
      </c>
      <c r="R38" s="73">
        <v>6371</v>
      </c>
    </row>
    <row r="39" ht="15" customHeight="1" s="4" customFormat="1">
      <c r="A39" s="9">
        <v>45875</v>
      </c>
      <c r="B39" s="72">
        <v>102702</v>
      </c>
      <c r="C39" s="11" t="s">
        <v>20</v>
      </c>
      <c r="D39" s="11" t="s">
        <v>21</v>
      </c>
      <c r="E39" s="9">
        <v>45841</v>
      </c>
      <c r="F39" s="73">
        <v>4</v>
      </c>
      <c r="G39" s="12" t="s">
        <v>20</v>
      </c>
      <c r="H39" s="11" t="s">
        <v>22</v>
      </c>
      <c r="I39" s="74">
        <v>16</v>
      </c>
      <c r="J39" s="11" t="s">
        <v>23</v>
      </c>
      <c r="K39" s="11" t="s">
        <v>24</v>
      </c>
      <c r="L39" s="74">
        <v>9</v>
      </c>
      <c r="M39" s="74">
        <v>25</v>
      </c>
      <c r="N39" s="11" t="s">
        <v>20</v>
      </c>
      <c r="O39" s="11" t="s">
        <v>20</v>
      </c>
      <c r="P39" s="12" t="s">
        <v>20</v>
      </c>
      <c r="Q39" s="75">
        <v>6319.25</v>
      </c>
      <c r="R39" s="73">
        <v>6371</v>
      </c>
    </row>
    <row r="40" ht="15" customHeight="1" s="4" customFormat="1">
      <c r="A40" s="9">
        <v>45875</v>
      </c>
      <c r="B40" s="72">
        <v>102702</v>
      </c>
      <c r="C40" s="11" t="s">
        <v>20</v>
      </c>
      <c r="D40" s="11" t="s">
        <v>21</v>
      </c>
      <c r="E40" s="9">
        <v>45845</v>
      </c>
      <c r="F40" s="73">
        <v>1</v>
      </c>
      <c r="G40" s="12" t="s">
        <v>20</v>
      </c>
      <c r="H40" s="11" t="s">
        <v>22</v>
      </c>
      <c r="I40" s="74">
        <v>16</v>
      </c>
      <c r="J40" s="11" t="s">
        <v>23</v>
      </c>
      <c r="K40" s="11" t="s">
        <v>24</v>
      </c>
      <c r="L40" s="74">
        <v>9</v>
      </c>
      <c r="M40" s="74">
        <v>25</v>
      </c>
      <c r="N40" s="11" t="s">
        <v>20</v>
      </c>
      <c r="O40" s="11" t="s">
        <v>20</v>
      </c>
      <c r="P40" s="12" t="s">
        <v>20</v>
      </c>
      <c r="Q40" s="73">
        <v>6294</v>
      </c>
      <c r="R40" s="73">
        <v>6371</v>
      </c>
    </row>
    <row r="41" ht="15" customHeight="1" s="4" customFormat="1">
      <c r="A41" s="9">
        <v>45875</v>
      </c>
      <c r="B41" s="72">
        <v>102703</v>
      </c>
      <c r="C41" s="11" t="s">
        <v>20</v>
      </c>
      <c r="D41" s="11" t="s">
        <v>21</v>
      </c>
      <c r="E41" s="9">
        <v>45845</v>
      </c>
      <c r="F41" s="73">
        <v>1</v>
      </c>
      <c r="G41" s="12" t="s">
        <v>20</v>
      </c>
      <c r="H41" s="11" t="s">
        <v>22</v>
      </c>
      <c r="I41" s="74">
        <v>16</v>
      </c>
      <c r="J41" s="11" t="s">
        <v>23</v>
      </c>
      <c r="K41" s="11" t="s">
        <v>24</v>
      </c>
      <c r="L41" s="74">
        <v>9</v>
      </c>
      <c r="M41" s="74">
        <v>25</v>
      </c>
      <c r="N41" s="11" t="s">
        <v>20</v>
      </c>
      <c r="O41" s="11" t="s">
        <v>20</v>
      </c>
      <c r="P41" s="12" t="s">
        <v>20</v>
      </c>
      <c r="Q41" s="73">
        <v>6294</v>
      </c>
      <c r="R41" s="73">
        <v>6371</v>
      </c>
    </row>
    <row r="42" ht="15" customHeight="1" s="4" customFormat="1">
      <c r="A42" s="9">
        <v>45875</v>
      </c>
      <c r="B42" s="72">
        <v>102702</v>
      </c>
      <c r="C42" s="11" t="s">
        <v>20</v>
      </c>
      <c r="D42" s="11" t="s">
        <v>21</v>
      </c>
      <c r="E42" s="9">
        <v>45845</v>
      </c>
      <c r="F42" s="73">
        <v>3</v>
      </c>
      <c r="G42" s="12" t="s">
        <v>20</v>
      </c>
      <c r="H42" s="11" t="s">
        <v>22</v>
      </c>
      <c r="I42" s="74">
        <v>16</v>
      </c>
      <c r="J42" s="11" t="s">
        <v>23</v>
      </c>
      <c r="K42" s="11" t="s">
        <v>24</v>
      </c>
      <c r="L42" s="74">
        <v>9</v>
      </c>
      <c r="M42" s="74">
        <v>25</v>
      </c>
      <c r="N42" s="11" t="s">
        <v>20</v>
      </c>
      <c r="O42" s="11" t="s">
        <v>20</v>
      </c>
      <c r="P42" s="12" t="s">
        <v>20</v>
      </c>
      <c r="Q42" s="75">
        <v>6294.25</v>
      </c>
      <c r="R42" s="73">
        <v>6371</v>
      </c>
    </row>
    <row r="43" ht="15" customHeight="1" s="4" customFormat="1">
      <c r="A43" s="9">
        <v>45875</v>
      </c>
      <c r="B43" s="72">
        <v>102703</v>
      </c>
      <c r="C43" s="11" t="s">
        <v>20</v>
      </c>
      <c r="D43" s="11" t="s">
        <v>21</v>
      </c>
      <c r="E43" s="9">
        <v>45845</v>
      </c>
      <c r="F43" s="73">
        <v>3</v>
      </c>
      <c r="G43" s="12" t="s">
        <v>20</v>
      </c>
      <c r="H43" s="11" t="s">
        <v>22</v>
      </c>
      <c r="I43" s="74">
        <v>16</v>
      </c>
      <c r="J43" s="11" t="s">
        <v>23</v>
      </c>
      <c r="K43" s="11" t="s">
        <v>24</v>
      </c>
      <c r="L43" s="74">
        <v>9</v>
      </c>
      <c r="M43" s="74">
        <v>25</v>
      </c>
      <c r="N43" s="11" t="s">
        <v>20</v>
      </c>
      <c r="O43" s="11" t="s">
        <v>20</v>
      </c>
      <c r="P43" s="12" t="s">
        <v>20</v>
      </c>
      <c r="Q43" s="75">
        <v>6294.25</v>
      </c>
      <c r="R43" s="73">
        <v>6371</v>
      </c>
    </row>
    <row r="44" ht="15" customHeight="1" s="4" customFormat="1">
      <c r="A44" s="9">
        <v>45875</v>
      </c>
      <c r="B44" s="72">
        <v>102702</v>
      </c>
      <c r="C44" s="11" t="s">
        <v>20</v>
      </c>
      <c r="D44" s="11" t="s">
        <v>21</v>
      </c>
      <c r="E44" s="9">
        <v>45847</v>
      </c>
      <c r="F44" s="73">
        <v>7</v>
      </c>
      <c r="G44" s="12" t="s">
        <v>20</v>
      </c>
      <c r="H44" s="11" t="s">
        <v>22</v>
      </c>
      <c r="I44" s="74">
        <v>16</v>
      </c>
      <c r="J44" s="11" t="s">
        <v>23</v>
      </c>
      <c r="K44" s="11" t="s">
        <v>24</v>
      </c>
      <c r="L44" s="74">
        <v>9</v>
      </c>
      <c r="M44" s="74">
        <v>25</v>
      </c>
      <c r="N44" s="11" t="s">
        <v>20</v>
      </c>
      <c r="O44" s="11" t="s">
        <v>20</v>
      </c>
      <c r="P44" s="12" t="s">
        <v>20</v>
      </c>
      <c r="Q44" s="75">
        <v>6292.25</v>
      </c>
      <c r="R44" s="73">
        <v>6371</v>
      </c>
    </row>
    <row r="45" ht="15" customHeight="1" s="4" customFormat="1">
      <c r="A45" s="9">
        <v>45875</v>
      </c>
      <c r="B45" s="72">
        <v>102703</v>
      </c>
      <c r="C45" s="11" t="s">
        <v>20</v>
      </c>
      <c r="D45" s="11" t="s">
        <v>21</v>
      </c>
      <c r="E45" s="9">
        <v>45852</v>
      </c>
      <c r="F45" s="73">
        <v>1</v>
      </c>
      <c r="G45" s="12" t="s">
        <v>20</v>
      </c>
      <c r="H45" s="11" t="s">
        <v>22</v>
      </c>
      <c r="I45" s="74">
        <v>16</v>
      </c>
      <c r="J45" s="11" t="s">
        <v>23</v>
      </c>
      <c r="K45" s="11" t="s">
        <v>24</v>
      </c>
      <c r="L45" s="74">
        <v>9</v>
      </c>
      <c r="M45" s="74">
        <v>25</v>
      </c>
      <c r="N45" s="11" t="s">
        <v>20</v>
      </c>
      <c r="O45" s="11" t="s">
        <v>20</v>
      </c>
      <c r="P45" s="12" t="s">
        <v>20</v>
      </c>
      <c r="Q45" s="73">
        <v>6289</v>
      </c>
      <c r="R45" s="73">
        <v>6371</v>
      </c>
    </row>
    <row r="46" ht="15" customHeight="1" s="4" customFormat="1">
      <c r="A46" s="9">
        <v>45875</v>
      </c>
      <c r="B46" s="72">
        <v>102702</v>
      </c>
      <c r="C46" s="11" t="s">
        <v>20</v>
      </c>
      <c r="D46" s="11" t="s">
        <v>21</v>
      </c>
      <c r="E46" s="9">
        <v>45852</v>
      </c>
      <c r="F46" s="73">
        <v>2</v>
      </c>
      <c r="G46" s="12" t="s">
        <v>20</v>
      </c>
      <c r="H46" s="11" t="s">
        <v>22</v>
      </c>
      <c r="I46" s="74">
        <v>16</v>
      </c>
      <c r="J46" s="11" t="s">
        <v>23</v>
      </c>
      <c r="K46" s="11" t="s">
        <v>24</v>
      </c>
      <c r="L46" s="74">
        <v>9</v>
      </c>
      <c r="M46" s="74">
        <v>25</v>
      </c>
      <c r="N46" s="11" t="s">
        <v>20</v>
      </c>
      <c r="O46" s="11" t="s">
        <v>20</v>
      </c>
      <c r="P46" s="12" t="s">
        <v>20</v>
      </c>
      <c r="Q46" s="75">
        <v>6289.25</v>
      </c>
      <c r="R46" s="73">
        <v>6371</v>
      </c>
    </row>
    <row r="47" ht="15" customHeight="1" s="4" customFormat="1">
      <c r="A47" s="9">
        <v>45875</v>
      </c>
      <c r="B47" s="72">
        <v>102703</v>
      </c>
      <c r="C47" s="11" t="s">
        <v>20</v>
      </c>
      <c r="D47" s="11" t="s">
        <v>21</v>
      </c>
      <c r="E47" s="9">
        <v>45853</v>
      </c>
      <c r="F47" s="73">
        <v>2</v>
      </c>
      <c r="G47" s="12" t="s">
        <v>20</v>
      </c>
      <c r="H47" s="11" t="s">
        <v>22</v>
      </c>
      <c r="I47" s="74">
        <v>16</v>
      </c>
      <c r="J47" s="11" t="s">
        <v>23</v>
      </c>
      <c r="K47" s="11" t="s">
        <v>24</v>
      </c>
      <c r="L47" s="74">
        <v>9</v>
      </c>
      <c r="M47" s="74">
        <v>25</v>
      </c>
      <c r="N47" s="11" t="s">
        <v>20</v>
      </c>
      <c r="O47" s="11" t="s">
        <v>20</v>
      </c>
      <c r="P47" s="12" t="s">
        <v>20</v>
      </c>
      <c r="Q47" s="75">
        <v>6322.75</v>
      </c>
      <c r="R47" s="73">
        <v>6371</v>
      </c>
    </row>
    <row r="48" ht="15" customHeight="1" s="4" customFormat="1">
      <c r="A48" s="9">
        <v>45875</v>
      </c>
      <c r="B48" s="72">
        <v>102702</v>
      </c>
      <c r="C48" s="11" t="s">
        <v>20</v>
      </c>
      <c r="D48" s="11" t="s">
        <v>21</v>
      </c>
      <c r="E48" s="9">
        <v>45854</v>
      </c>
      <c r="F48" s="73">
        <v>1</v>
      </c>
      <c r="G48" s="12" t="s">
        <v>20</v>
      </c>
      <c r="H48" s="11" t="s">
        <v>22</v>
      </c>
      <c r="I48" s="74">
        <v>16</v>
      </c>
      <c r="J48" s="11" t="s">
        <v>23</v>
      </c>
      <c r="K48" s="11" t="s">
        <v>24</v>
      </c>
      <c r="L48" s="74">
        <v>9</v>
      </c>
      <c r="M48" s="74">
        <v>25</v>
      </c>
      <c r="N48" s="11" t="s">
        <v>20</v>
      </c>
      <c r="O48" s="11" t="s">
        <v>20</v>
      </c>
      <c r="P48" s="12" t="s">
        <v>20</v>
      </c>
      <c r="Q48" s="73">
        <v>6289</v>
      </c>
      <c r="R48" s="73">
        <v>6371</v>
      </c>
    </row>
    <row r="49" ht="15" customHeight="1" s="4" customFormat="1">
      <c r="A49" s="9">
        <v>45875</v>
      </c>
      <c r="B49" s="72">
        <v>102703</v>
      </c>
      <c r="C49" s="11" t="s">
        <v>20</v>
      </c>
      <c r="D49" s="11" t="s">
        <v>21</v>
      </c>
      <c r="E49" s="9">
        <v>45854</v>
      </c>
      <c r="F49" s="73">
        <v>2</v>
      </c>
      <c r="G49" s="12" t="s">
        <v>20</v>
      </c>
      <c r="H49" s="11" t="s">
        <v>22</v>
      </c>
      <c r="I49" s="74">
        <v>16</v>
      </c>
      <c r="J49" s="11" t="s">
        <v>23</v>
      </c>
      <c r="K49" s="11" t="s">
        <v>24</v>
      </c>
      <c r="L49" s="74">
        <v>9</v>
      </c>
      <c r="M49" s="74">
        <v>25</v>
      </c>
      <c r="N49" s="11" t="s">
        <v>20</v>
      </c>
      <c r="O49" s="11" t="s">
        <v>20</v>
      </c>
      <c r="P49" s="12" t="s">
        <v>20</v>
      </c>
      <c r="Q49" s="75">
        <v>6289.25</v>
      </c>
      <c r="R49" s="73">
        <v>6371</v>
      </c>
    </row>
    <row r="50" ht="15" customHeight="1" s="4" customFormat="1">
      <c r="A50" s="9">
        <v>45875</v>
      </c>
      <c r="B50" s="72">
        <v>102702</v>
      </c>
      <c r="C50" s="11" t="s">
        <v>20</v>
      </c>
      <c r="D50" s="11" t="s">
        <v>21</v>
      </c>
      <c r="E50" s="9">
        <v>45854</v>
      </c>
      <c r="F50" s="73">
        <v>8</v>
      </c>
      <c r="G50" s="12" t="s">
        <v>20</v>
      </c>
      <c r="H50" s="11" t="s">
        <v>22</v>
      </c>
      <c r="I50" s="74">
        <v>16</v>
      </c>
      <c r="J50" s="11" t="s">
        <v>23</v>
      </c>
      <c r="K50" s="11" t="s">
        <v>24</v>
      </c>
      <c r="L50" s="74">
        <v>9</v>
      </c>
      <c r="M50" s="74">
        <v>25</v>
      </c>
      <c r="N50" s="11" t="s">
        <v>20</v>
      </c>
      <c r="O50" s="11" t="s">
        <v>20</v>
      </c>
      <c r="P50" s="12" t="s">
        <v>20</v>
      </c>
      <c r="Q50" s="75">
        <v>6289.25</v>
      </c>
      <c r="R50" s="73">
        <v>6371</v>
      </c>
    </row>
    <row r="51" ht="15" customHeight="1" s="4" customFormat="1">
      <c r="A51" s="9">
        <v>45875</v>
      </c>
      <c r="B51" s="72">
        <v>102703</v>
      </c>
      <c r="C51" s="11" t="s">
        <v>20</v>
      </c>
      <c r="D51" s="11" t="s">
        <v>21</v>
      </c>
      <c r="E51" s="9">
        <v>45855</v>
      </c>
      <c r="F51" s="73">
        <v>1</v>
      </c>
      <c r="G51" s="12" t="s">
        <v>20</v>
      </c>
      <c r="H51" s="11" t="s">
        <v>22</v>
      </c>
      <c r="I51" s="74">
        <v>16</v>
      </c>
      <c r="J51" s="11" t="s">
        <v>23</v>
      </c>
      <c r="K51" s="11" t="s">
        <v>24</v>
      </c>
      <c r="L51" s="74">
        <v>9</v>
      </c>
      <c r="M51" s="74">
        <v>25</v>
      </c>
      <c r="N51" s="11" t="s">
        <v>20</v>
      </c>
      <c r="O51" s="11" t="s">
        <v>20</v>
      </c>
      <c r="P51" s="12" t="s">
        <v>20</v>
      </c>
      <c r="Q51" s="73">
        <v>6316</v>
      </c>
      <c r="R51" s="73">
        <v>6371</v>
      </c>
    </row>
    <row r="52" ht="15" customHeight="1" s="4" customFormat="1">
      <c r="A52" s="9">
        <v>45875</v>
      </c>
      <c r="B52" s="72">
        <v>102702</v>
      </c>
      <c r="C52" s="11" t="s">
        <v>20</v>
      </c>
      <c r="D52" s="11" t="s">
        <v>21</v>
      </c>
      <c r="E52" s="9">
        <v>45855</v>
      </c>
      <c r="F52" s="73">
        <v>4</v>
      </c>
      <c r="G52" s="12" t="s">
        <v>20</v>
      </c>
      <c r="H52" s="11" t="s">
        <v>22</v>
      </c>
      <c r="I52" s="74">
        <v>16</v>
      </c>
      <c r="J52" s="11" t="s">
        <v>23</v>
      </c>
      <c r="K52" s="11" t="s">
        <v>24</v>
      </c>
      <c r="L52" s="74">
        <v>9</v>
      </c>
      <c r="M52" s="74">
        <v>25</v>
      </c>
      <c r="N52" s="11" t="s">
        <v>20</v>
      </c>
      <c r="O52" s="11" t="s">
        <v>20</v>
      </c>
      <c r="P52" s="12" t="s">
        <v>20</v>
      </c>
      <c r="Q52" s="73">
        <v>6316</v>
      </c>
      <c r="R52" s="73">
        <v>6371</v>
      </c>
    </row>
    <row r="53" ht="15" customHeight="1" s="4" customFormat="1">
      <c r="A53" s="9">
        <v>45875</v>
      </c>
      <c r="B53" s="72">
        <v>102702</v>
      </c>
      <c r="C53" s="11" t="s">
        <v>20</v>
      </c>
      <c r="D53" s="11" t="s">
        <v>21</v>
      </c>
      <c r="E53" s="9">
        <v>45859</v>
      </c>
      <c r="F53" s="73">
        <v>3</v>
      </c>
      <c r="G53" s="12" t="s">
        <v>20</v>
      </c>
      <c r="H53" s="11" t="s">
        <v>22</v>
      </c>
      <c r="I53" s="74">
        <v>16</v>
      </c>
      <c r="J53" s="11" t="s">
        <v>23</v>
      </c>
      <c r="K53" s="11" t="s">
        <v>24</v>
      </c>
      <c r="L53" s="74">
        <v>9</v>
      </c>
      <c r="M53" s="74">
        <v>25</v>
      </c>
      <c r="N53" s="11" t="s">
        <v>20</v>
      </c>
      <c r="O53" s="11" t="s">
        <v>20</v>
      </c>
      <c r="P53" s="12" t="s">
        <v>20</v>
      </c>
      <c r="Q53" s="75">
        <v>6368.25</v>
      </c>
      <c r="R53" s="73">
        <v>6371</v>
      </c>
    </row>
    <row r="54" ht="15" customHeight="1" s="4" customFormat="1">
      <c r="A54" s="9">
        <v>45875</v>
      </c>
      <c r="B54" s="72">
        <v>102703</v>
      </c>
      <c r="C54" s="11" t="s">
        <v>20</v>
      </c>
      <c r="D54" s="11" t="s">
        <v>21</v>
      </c>
      <c r="E54" s="9">
        <v>45859</v>
      </c>
      <c r="F54" s="73">
        <v>3</v>
      </c>
      <c r="G54" s="12" t="s">
        <v>20</v>
      </c>
      <c r="H54" s="11" t="s">
        <v>22</v>
      </c>
      <c r="I54" s="74">
        <v>16</v>
      </c>
      <c r="J54" s="11" t="s">
        <v>23</v>
      </c>
      <c r="K54" s="11" t="s">
        <v>24</v>
      </c>
      <c r="L54" s="74">
        <v>9</v>
      </c>
      <c r="M54" s="74">
        <v>25</v>
      </c>
      <c r="N54" s="11" t="s">
        <v>20</v>
      </c>
      <c r="O54" s="11" t="s">
        <v>20</v>
      </c>
      <c r="P54" s="12" t="s">
        <v>20</v>
      </c>
      <c r="Q54" s="75">
        <v>6368.25</v>
      </c>
      <c r="R54" s="73">
        <v>6371</v>
      </c>
    </row>
    <row r="55" ht="15" customHeight="1" s="4" customFormat="1">
      <c r="A55" s="9">
        <v>45875</v>
      </c>
      <c r="B55" s="72">
        <v>102702</v>
      </c>
      <c r="C55" s="11" t="s">
        <v>20</v>
      </c>
      <c r="D55" s="11" t="s">
        <v>21</v>
      </c>
      <c r="E55" s="9">
        <v>45859</v>
      </c>
      <c r="F55" s="73">
        <v>3</v>
      </c>
      <c r="G55" s="12" t="s">
        <v>20</v>
      </c>
      <c r="H55" s="11" t="s">
        <v>22</v>
      </c>
      <c r="I55" s="74">
        <v>16</v>
      </c>
      <c r="J55" s="11" t="s">
        <v>23</v>
      </c>
      <c r="K55" s="11" t="s">
        <v>24</v>
      </c>
      <c r="L55" s="74">
        <v>9</v>
      </c>
      <c r="M55" s="74">
        <v>25</v>
      </c>
      <c r="N55" s="11" t="s">
        <v>20</v>
      </c>
      <c r="O55" s="11" t="s">
        <v>20</v>
      </c>
      <c r="P55" s="12" t="s">
        <v>20</v>
      </c>
      <c r="Q55" s="75">
        <v>6367.75</v>
      </c>
      <c r="R55" s="73">
        <v>6371</v>
      </c>
    </row>
    <row r="56" ht="15" customHeight="1" s="4" customFormat="1">
      <c r="A56" s="9">
        <v>45875</v>
      </c>
      <c r="B56" s="72">
        <v>102703</v>
      </c>
      <c r="C56" s="11" t="s">
        <v>20</v>
      </c>
      <c r="D56" s="11" t="s">
        <v>21</v>
      </c>
      <c r="E56" s="9">
        <v>45859</v>
      </c>
      <c r="F56" s="73">
        <v>3</v>
      </c>
      <c r="G56" s="12" t="s">
        <v>20</v>
      </c>
      <c r="H56" s="11" t="s">
        <v>22</v>
      </c>
      <c r="I56" s="74">
        <v>16</v>
      </c>
      <c r="J56" s="11" t="s">
        <v>23</v>
      </c>
      <c r="K56" s="11" t="s">
        <v>24</v>
      </c>
      <c r="L56" s="74">
        <v>9</v>
      </c>
      <c r="M56" s="74">
        <v>25</v>
      </c>
      <c r="N56" s="11" t="s">
        <v>20</v>
      </c>
      <c r="O56" s="11" t="s">
        <v>20</v>
      </c>
      <c r="P56" s="12" t="s">
        <v>20</v>
      </c>
      <c r="Q56" s="75">
        <v>6367.75</v>
      </c>
      <c r="R56" s="73">
        <v>6371</v>
      </c>
    </row>
    <row r="57" ht="15" customHeight="1" s="4" customFormat="1">
      <c r="A57" s="9">
        <v>45875</v>
      </c>
      <c r="B57" s="72">
        <v>102702</v>
      </c>
      <c r="C57" s="11" t="s">
        <v>20</v>
      </c>
      <c r="D57" s="11" t="s">
        <v>21</v>
      </c>
      <c r="E57" s="9">
        <v>45859</v>
      </c>
      <c r="F57" s="73">
        <v>4</v>
      </c>
      <c r="G57" s="12" t="s">
        <v>20</v>
      </c>
      <c r="H57" s="11" t="s">
        <v>22</v>
      </c>
      <c r="I57" s="74">
        <v>16</v>
      </c>
      <c r="J57" s="11" t="s">
        <v>23</v>
      </c>
      <c r="K57" s="11" t="s">
        <v>24</v>
      </c>
      <c r="L57" s="74">
        <v>9</v>
      </c>
      <c r="M57" s="74">
        <v>25</v>
      </c>
      <c r="N57" s="11" t="s">
        <v>20</v>
      </c>
      <c r="O57" s="11" t="s">
        <v>20</v>
      </c>
      <c r="P57" s="12" t="s">
        <v>20</v>
      </c>
      <c r="Q57" s="73">
        <v>6368</v>
      </c>
      <c r="R57" s="73">
        <v>6371</v>
      </c>
    </row>
    <row r="58" ht="15" customHeight="1" s="4" customFormat="1">
      <c r="A58" s="9">
        <v>45875</v>
      </c>
      <c r="B58" s="72">
        <v>102703</v>
      </c>
      <c r="C58" s="11" t="s">
        <v>20</v>
      </c>
      <c r="D58" s="11" t="s">
        <v>21</v>
      </c>
      <c r="E58" s="9">
        <v>45861</v>
      </c>
      <c r="F58" s="73">
        <v>1</v>
      </c>
      <c r="G58" s="12" t="s">
        <v>20</v>
      </c>
      <c r="H58" s="11" t="s">
        <v>22</v>
      </c>
      <c r="I58" s="74">
        <v>16</v>
      </c>
      <c r="J58" s="11" t="s">
        <v>23</v>
      </c>
      <c r="K58" s="11" t="s">
        <v>24</v>
      </c>
      <c r="L58" s="74">
        <v>9</v>
      </c>
      <c r="M58" s="74">
        <v>25</v>
      </c>
      <c r="N58" s="11" t="s">
        <v>20</v>
      </c>
      <c r="O58" s="11" t="s">
        <v>20</v>
      </c>
      <c r="P58" s="12" t="s">
        <v>20</v>
      </c>
      <c r="Q58" s="73">
        <v>6359</v>
      </c>
      <c r="R58" s="73">
        <v>6371</v>
      </c>
    </row>
    <row r="59" ht="15" customHeight="1" s="4" customFormat="1">
      <c r="A59" s="9">
        <v>45875</v>
      </c>
      <c r="B59" s="72">
        <v>102702</v>
      </c>
      <c r="C59" s="11" t="s">
        <v>20</v>
      </c>
      <c r="D59" s="11" t="s">
        <v>21</v>
      </c>
      <c r="E59" s="9">
        <v>45861</v>
      </c>
      <c r="F59" s="73">
        <v>2</v>
      </c>
      <c r="G59" s="12" t="s">
        <v>20</v>
      </c>
      <c r="H59" s="11" t="s">
        <v>22</v>
      </c>
      <c r="I59" s="74">
        <v>16</v>
      </c>
      <c r="J59" s="11" t="s">
        <v>23</v>
      </c>
      <c r="K59" s="11" t="s">
        <v>24</v>
      </c>
      <c r="L59" s="74">
        <v>9</v>
      </c>
      <c r="M59" s="74">
        <v>25</v>
      </c>
      <c r="N59" s="11" t="s">
        <v>20</v>
      </c>
      <c r="O59" s="11" t="s">
        <v>20</v>
      </c>
      <c r="P59" s="12" t="s">
        <v>20</v>
      </c>
      <c r="Q59" s="75">
        <v>6359.25</v>
      </c>
      <c r="R59" s="73">
        <v>6371</v>
      </c>
    </row>
    <row r="60" ht="15" customHeight="1" s="4" customFormat="1">
      <c r="A60" s="9">
        <v>45875</v>
      </c>
      <c r="B60" s="72">
        <v>102703</v>
      </c>
      <c r="C60" s="11" t="s">
        <v>20</v>
      </c>
      <c r="D60" s="11" t="s">
        <v>21</v>
      </c>
      <c r="E60" s="9">
        <v>45869</v>
      </c>
      <c r="F60" s="73">
        <v>2</v>
      </c>
      <c r="G60" s="12" t="s">
        <v>20</v>
      </c>
      <c r="H60" s="11" t="s">
        <v>22</v>
      </c>
      <c r="I60" s="74">
        <v>16</v>
      </c>
      <c r="J60" s="11" t="s">
        <v>23</v>
      </c>
      <c r="K60" s="11" t="s">
        <v>24</v>
      </c>
      <c r="L60" s="74">
        <v>9</v>
      </c>
      <c r="M60" s="74">
        <v>25</v>
      </c>
      <c r="N60" s="11" t="s">
        <v>20</v>
      </c>
      <c r="O60" s="11" t="s">
        <v>20</v>
      </c>
      <c r="P60" s="12" t="s">
        <v>20</v>
      </c>
      <c r="Q60" s="75">
        <v>6444.25</v>
      </c>
      <c r="R60" s="73">
        <v>6371</v>
      </c>
    </row>
    <row r="61" ht="15" customHeight="1" s="4" customFormat="1">
      <c r="A61" s="9">
        <v>45875</v>
      </c>
      <c r="B61" s="72">
        <v>102702</v>
      </c>
      <c r="C61" s="11" t="s">
        <v>20</v>
      </c>
      <c r="D61" s="11" t="s">
        <v>21</v>
      </c>
      <c r="E61" s="9">
        <v>45869</v>
      </c>
      <c r="F61" s="73">
        <v>2</v>
      </c>
      <c r="G61" s="12" t="s">
        <v>20</v>
      </c>
      <c r="H61" s="11" t="s">
        <v>22</v>
      </c>
      <c r="I61" s="74">
        <v>16</v>
      </c>
      <c r="J61" s="11" t="s">
        <v>23</v>
      </c>
      <c r="K61" s="11" t="s">
        <v>24</v>
      </c>
      <c r="L61" s="74">
        <v>9</v>
      </c>
      <c r="M61" s="74">
        <v>25</v>
      </c>
      <c r="N61" s="11" t="s">
        <v>20</v>
      </c>
      <c r="O61" s="11" t="s">
        <v>20</v>
      </c>
      <c r="P61" s="12" t="s">
        <v>20</v>
      </c>
      <c r="Q61" s="75">
        <v>6445.25</v>
      </c>
      <c r="R61" s="73">
        <v>6371</v>
      </c>
    </row>
    <row r="62" ht="15" customHeight="1" s="4" customFormat="1">
      <c r="A62" s="9">
        <v>45875</v>
      </c>
      <c r="B62" s="72">
        <v>102702</v>
      </c>
      <c r="C62" s="11" t="s">
        <v>20</v>
      </c>
      <c r="D62" s="11" t="s">
        <v>21</v>
      </c>
      <c r="E62" s="9">
        <v>45869</v>
      </c>
      <c r="F62" s="73">
        <v>3</v>
      </c>
      <c r="G62" s="12" t="s">
        <v>20</v>
      </c>
      <c r="H62" s="11" t="s">
        <v>22</v>
      </c>
      <c r="I62" s="74">
        <v>16</v>
      </c>
      <c r="J62" s="11" t="s">
        <v>23</v>
      </c>
      <c r="K62" s="11" t="s">
        <v>24</v>
      </c>
      <c r="L62" s="74">
        <v>9</v>
      </c>
      <c r="M62" s="74">
        <v>25</v>
      </c>
      <c r="N62" s="11" t="s">
        <v>20</v>
      </c>
      <c r="O62" s="11" t="s">
        <v>20</v>
      </c>
      <c r="P62" s="12" t="s">
        <v>20</v>
      </c>
      <c r="Q62" s="75">
        <v>6444.5</v>
      </c>
      <c r="R62" s="73">
        <v>6371</v>
      </c>
    </row>
    <row r="63" ht="15" customHeight="1" s="4" customFormat="1">
      <c r="A63" s="9">
        <v>45875</v>
      </c>
      <c r="B63" s="72">
        <v>102702</v>
      </c>
      <c r="C63" s="11" t="s">
        <v>20</v>
      </c>
      <c r="D63" s="11" t="s">
        <v>21</v>
      </c>
      <c r="E63" s="9">
        <v>45870</v>
      </c>
      <c r="F63" s="73">
        <v>1</v>
      </c>
      <c r="G63" s="12" t="s">
        <v>20</v>
      </c>
      <c r="H63" s="11" t="s">
        <v>22</v>
      </c>
      <c r="I63" s="74">
        <v>16</v>
      </c>
      <c r="J63" s="11" t="s">
        <v>23</v>
      </c>
      <c r="K63" s="11" t="s">
        <v>24</v>
      </c>
      <c r="L63" s="74">
        <v>9</v>
      </c>
      <c r="M63" s="74">
        <v>25</v>
      </c>
      <c r="N63" s="11" t="s">
        <v>20</v>
      </c>
      <c r="O63" s="11" t="s">
        <v>20</v>
      </c>
      <c r="P63" s="12" t="s">
        <v>20</v>
      </c>
      <c r="Q63" s="75">
        <v>6275.25</v>
      </c>
      <c r="R63" s="73">
        <v>6371</v>
      </c>
    </row>
    <row r="64" ht="15" customHeight="1" s="4" customFormat="1">
      <c r="A64" s="9">
        <v>45875</v>
      </c>
      <c r="B64" s="72">
        <v>102702</v>
      </c>
      <c r="C64" s="11" t="s">
        <v>20</v>
      </c>
      <c r="D64" s="11" t="s">
        <v>21</v>
      </c>
      <c r="E64" s="9">
        <v>45870</v>
      </c>
      <c r="F64" s="73">
        <v>1</v>
      </c>
      <c r="G64" s="12" t="s">
        <v>20</v>
      </c>
      <c r="H64" s="11" t="s">
        <v>22</v>
      </c>
      <c r="I64" s="74">
        <v>16</v>
      </c>
      <c r="J64" s="11" t="s">
        <v>23</v>
      </c>
      <c r="K64" s="11" t="s">
        <v>24</v>
      </c>
      <c r="L64" s="74">
        <v>9</v>
      </c>
      <c r="M64" s="74">
        <v>25</v>
      </c>
      <c r="N64" s="11" t="s">
        <v>20</v>
      </c>
      <c r="O64" s="11" t="s">
        <v>20</v>
      </c>
      <c r="P64" s="12" t="s">
        <v>20</v>
      </c>
      <c r="Q64" s="75">
        <v>6274.75</v>
      </c>
      <c r="R64" s="73">
        <v>6371</v>
      </c>
    </row>
    <row r="65" ht="15" customHeight="1" s="4" customFormat="1">
      <c r="A65" s="9">
        <v>45875</v>
      </c>
      <c r="B65" s="72">
        <v>102703</v>
      </c>
      <c r="C65" s="11" t="s">
        <v>20</v>
      </c>
      <c r="D65" s="11" t="s">
        <v>21</v>
      </c>
      <c r="E65" s="9">
        <v>45873</v>
      </c>
      <c r="F65" s="73">
        <v>1</v>
      </c>
      <c r="G65" s="12" t="s">
        <v>20</v>
      </c>
      <c r="H65" s="11" t="s">
        <v>22</v>
      </c>
      <c r="I65" s="74">
        <v>16</v>
      </c>
      <c r="J65" s="11" t="s">
        <v>23</v>
      </c>
      <c r="K65" s="11" t="s">
        <v>24</v>
      </c>
      <c r="L65" s="74">
        <v>9</v>
      </c>
      <c r="M65" s="74">
        <v>25</v>
      </c>
      <c r="N65" s="11" t="s">
        <v>20</v>
      </c>
      <c r="O65" s="11" t="s">
        <v>20</v>
      </c>
      <c r="P65" s="12" t="s">
        <v>20</v>
      </c>
      <c r="Q65" s="73">
        <v>6336</v>
      </c>
      <c r="R65" s="73">
        <v>6371</v>
      </c>
    </row>
    <row r="66" ht="15" customHeight="1" s="4" customFormat="1">
      <c r="A66" s="9">
        <v>45875</v>
      </c>
      <c r="B66" s="72">
        <v>102703</v>
      </c>
      <c r="C66" s="11" t="s">
        <v>20</v>
      </c>
      <c r="D66" s="11" t="s">
        <v>21</v>
      </c>
      <c r="E66" s="9">
        <v>45874</v>
      </c>
      <c r="F66" s="73">
        <v>1</v>
      </c>
      <c r="G66" s="12" t="s">
        <v>20</v>
      </c>
      <c r="H66" s="11" t="s">
        <v>22</v>
      </c>
      <c r="I66" s="74">
        <v>16</v>
      </c>
      <c r="J66" s="11" t="s">
        <v>23</v>
      </c>
      <c r="K66" s="11" t="s">
        <v>24</v>
      </c>
      <c r="L66" s="74">
        <v>9</v>
      </c>
      <c r="M66" s="74">
        <v>25</v>
      </c>
      <c r="N66" s="11" t="s">
        <v>20</v>
      </c>
      <c r="O66" s="11" t="s">
        <v>20</v>
      </c>
      <c r="P66" s="12" t="s">
        <v>20</v>
      </c>
      <c r="Q66" s="73">
        <v>6345</v>
      </c>
      <c r="R66" s="73">
        <v>6371</v>
      </c>
    </row>
    <row r="67" ht="15" customHeight="1" s="4" customFormat="1">
      <c r="A67" s="9"/>
      <c r="B67" s="10"/>
      <c r="C67" s="11"/>
      <c r="D67" s="11"/>
      <c r="E67" s="9"/>
      <c r="F67" s="12"/>
      <c r="G67" s="12"/>
      <c r="H67" s="11"/>
      <c r="I67" s="11"/>
      <c r="J67" s="11"/>
      <c r="K67" s="11"/>
      <c r="L67" s="11"/>
      <c r="M67" s="11"/>
      <c r="N67" s="11"/>
      <c r="O67" s="11"/>
      <c r="P67" s="12"/>
      <c r="Q67" s="13"/>
      <c r="R67" s="13"/>
    </row>
    <row r="68" ht="15" customHeight="1" s="4" customFormat="1">
      <c r="A68" s="9"/>
      <c r="B68" s="10"/>
      <c r="C68" s="11"/>
      <c r="D68" s="11"/>
      <c r="E68" s="9"/>
      <c r="F68" s="12"/>
      <c r="G68" s="12"/>
      <c r="H68" s="11"/>
      <c r="I68" s="11"/>
      <c r="J68" s="11"/>
      <c r="K68" s="11"/>
      <c r="L68" s="11"/>
      <c r="M68" s="11"/>
      <c r="N68" s="11"/>
      <c r="O68" s="11"/>
      <c r="P68" s="12"/>
      <c r="Q68" s="13"/>
      <c r="R68" s="13"/>
    </row>
    <row r="69" ht="15" customHeight="1" s="4" customFormat="1">
      <c r="A69" s="9"/>
      <c r="B69" s="10"/>
      <c r="C69" s="11"/>
      <c r="D69" s="11"/>
      <c r="E69" s="9"/>
      <c r="F69" s="12"/>
      <c r="G69" s="12"/>
      <c r="H69" s="11"/>
      <c r="I69" s="11"/>
      <c r="J69" s="11"/>
      <c r="K69" s="11"/>
      <c r="L69" s="11"/>
      <c r="M69" s="11"/>
      <c r="N69" s="11"/>
      <c r="O69" s="11"/>
      <c r="P69" s="12"/>
      <c r="Q69" s="13"/>
      <c r="R69" s="13"/>
    </row>
    <row r="70" ht="15" customHeight="1" s="4" customFormat="1">
      <c r="A70" s="9"/>
      <c r="B70" s="10"/>
      <c r="C70" s="11"/>
      <c r="D70" s="11"/>
      <c r="E70" s="9"/>
      <c r="F70" s="12"/>
      <c r="G70" s="12"/>
      <c r="H70" s="11"/>
      <c r="I70" s="11"/>
      <c r="J70" s="11"/>
      <c r="K70" s="11"/>
      <c r="L70" s="11"/>
      <c r="M70" s="11"/>
      <c r="N70" s="11"/>
      <c r="O70" s="11"/>
      <c r="P70" s="12"/>
      <c r="Q70" s="13"/>
      <c r="R70" s="13"/>
    </row>
    <row r="71" ht="15" customHeight="1" s="4" customFormat="1">
      <c r="A71" s="9"/>
      <c r="B71" s="10"/>
      <c r="C71" s="11"/>
      <c r="D71" s="11"/>
      <c r="E71" s="9"/>
      <c r="F71" s="12"/>
      <c r="G71" s="12"/>
      <c r="H71" s="11"/>
      <c r="I71" s="11"/>
      <c r="J71" s="11"/>
      <c r="K71" s="11"/>
      <c r="L71" s="11"/>
      <c r="M71" s="11"/>
      <c r="N71" s="11"/>
      <c r="O71" s="11"/>
      <c r="P71" s="12"/>
      <c r="Q71" s="13"/>
      <c r="R71" s="13"/>
    </row>
    <row r="72" ht="15" customHeight="1" s="4" customFormat="1">
      <c r="A72" s="9"/>
      <c r="B72" s="10"/>
      <c r="C72" s="11"/>
      <c r="D72" s="11"/>
      <c r="E72" s="9"/>
      <c r="F72" s="12"/>
      <c r="G72" s="12"/>
      <c r="H72" s="11"/>
      <c r="I72" s="11"/>
      <c r="J72" s="11"/>
      <c r="K72" s="11"/>
      <c r="L72" s="11"/>
      <c r="M72" s="11"/>
      <c r="N72" s="11"/>
      <c r="O72" s="11"/>
      <c r="P72" s="12"/>
      <c r="Q72" s="13"/>
      <c r="R72" s="13"/>
    </row>
    <row r="73" ht="15" customHeight="1" s="4" customFormat="1">
      <c r="A73" s="9"/>
      <c r="B73" s="10"/>
      <c r="C73" s="11"/>
      <c r="D73" s="11"/>
      <c r="E73" s="9"/>
      <c r="F73" s="12"/>
      <c r="G73" s="12"/>
      <c r="H73" s="11"/>
      <c r="I73" s="11"/>
      <c r="J73" s="11"/>
      <c r="K73" s="11"/>
      <c r="L73" s="11"/>
      <c r="M73" s="11"/>
      <c r="N73" s="11"/>
      <c r="O73" s="11"/>
      <c r="P73" s="12"/>
      <c r="Q73" s="13"/>
      <c r="R73" s="13"/>
    </row>
    <row r="74" ht="15" customHeight="1" s="4" customFormat="1">
      <c r="A74" s="9"/>
      <c r="B74" s="10"/>
      <c r="C74" s="11"/>
      <c r="D74" s="11"/>
      <c r="E74" s="9"/>
      <c r="F74" s="12"/>
      <c r="G74" s="12"/>
      <c r="H74" s="11"/>
      <c r="I74" s="11"/>
      <c r="J74" s="11"/>
      <c r="K74" s="11"/>
      <c r="L74" s="11"/>
      <c r="M74" s="11"/>
      <c r="N74" s="11"/>
      <c r="O74" s="11"/>
      <c r="P74" s="12"/>
      <c r="Q74" s="13"/>
      <c r="R74" s="13"/>
    </row>
    <row r="75" ht="15" customHeight="1" s="4" customFormat="1">
      <c r="A75" s="9"/>
      <c r="B75" s="10"/>
      <c r="C75" s="11"/>
      <c r="D75" s="11"/>
      <c r="E75" s="9"/>
      <c r="F75" s="12"/>
      <c r="G75" s="12"/>
      <c r="H75" s="11"/>
      <c r="I75" s="11"/>
      <c r="J75" s="11"/>
      <c r="K75" s="11"/>
      <c r="L75" s="11"/>
      <c r="M75" s="11"/>
      <c r="N75" s="11"/>
      <c r="O75" s="11"/>
      <c r="P75" s="12"/>
      <c r="Q75" s="13"/>
      <c r="R75" s="13"/>
    </row>
    <row r="76" ht="15" customHeight="1" s="4" customFormat="1">
      <c r="A76" s="9"/>
      <c r="B76" s="10"/>
      <c r="C76" s="11"/>
      <c r="D76" s="11"/>
      <c r="E76" s="9"/>
      <c r="F76" s="12"/>
      <c r="G76" s="12"/>
      <c r="H76" s="11"/>
      <c r="I76" s="11"/>
      <c r="J76" s="11"/>
      <c r="K76" s="11"/>
      <c r="L76" s="11"/>
      <c r="M76" s="11"/>
      <c r="N76" s="11"/>
      <c r="O76" s="11"/>
      <c r="P76" s="12"/>
      <c r="Q76" s="13"/>
      <c r="R76" s="13"/>
    </row>
    <row r="77" ht="15" customHeight="1" s="4" customFormat="1">
      <c r="A77" s="9"/>
      <c r="B77" s="10"/>
      <c r="C77" s="11"/>
      <c r="D77" s="11"/>
      <c r="E77" s="9"/>
      <c r="F77" s="12"/>
      <c r="G77" s="12"/>
      <c r="H77" s="11"/>
      <c r="I77" s="11"/>
      <c r="J77" s="11"/>
      <c r="K77" s="11"/>
      <c r="L77" s="11"/>
      <c r="M77" s="11"/>
      <c r="N77" s="11"/>
      <c r="O77" s="11"/>
      <c r="P77" s="12"/>
      <c r="Q77" s="13"/>
      <c r="R77" s="13"/>
    </row>
    <row r="78" ht="15" customHeight="1" s="4" customFormat="1">
      <c r="A78" s="9"/>
      <c r="B78" s="10"/>
      <c r="C78" s="11"/>
      <c r="D78" s="11"/>
      <c r="E78" s="9"/>
      <c r="F78" s="12"/>
      <c r="G78" s="12"/>
      <c r="H78" s="11"/>
      <c r="I78" s="11"/>
      <c r="J78" s="11"/>
      <c r="K78" s="11"/>
      <c r="L78" s="11"/>
      <c r="M78" s="11"/>
      <c r="N78" s="11"/>
      <c r="O78" s="11"/>
      <c r="P78" s="12"/>
      <c r="Q78" s="13"/>
      <c r="R78" s="13"/>
    </row>
    <row r="79" ht="15" customHeight="1" s="4" customFormat="1">
      <c r="A79" s="9"/>
      <c r="B79" s="10"/>
      <c r="C79" s="11"/>
      <c r="D79" s="11"/>
      <c r="E79" s="9"/>
      <c r="F79" s="12"/>
      <c r="G79" s="12"/>
      <c r="H79" s="11"/>
      <c r="I79" s="11"/>
      <c r="J79" s="11"/>
      <c r="K79" s="11"/>
      <c r="L79" s="11"/>
      <c r="M79" s="11"/>
      <c r="N79" s="11"/>
      <c r="O79" s="11"/>
      <c r="P79" s="12"/>
      <c r="Q79" s="13"/>
      <c r="R79" s="13"/>
    </row>
    <row r="80" ht="15" customHeight="1" s="4" customFormat="1">
      <c r="A80" s="9"/>
      <c r="B80" s="10"/>
      <c r="C80" s="11"/>
      <c r="D80" s="11"/>
      <c r="E80" s="9"/>
      <c r="F80" s="12"/>
      <c r="G80" s="12"/>
      <c r="H80" s="11"/>
      <c r="I80" s="11"/>
      <c r="J80" s="11"/>
      <c r="K80" s="11"/>
      <c r="L80" s="11"/>
      <c r="M80" s="11"/>
      <c r="N80" s="11"/>
      <c r="O80" s="11"/>
      <c r="P80" s="12"/>
      <c r="Q80" s="13"/>
      <c r="R80" s="13"/>
    </row>
    <row r="81" ht="15" customHeight="1" s="4" customFormat="1">
      <c r="A81" s="9"/>
      <c r="B81" s="10"/>
      <c r="C81" s="11"/>
      <c r="D81" s="11"/>
      <c r="E81" s="9"/>
      <c r="F81" s="12"/>
      <c r="G81" s="12"/>
      <c r="H81" s="11"/>
      <c r="I81" s="11"/>
      <c r="J81" s="11"/>
      <c r="K81" s="11"/>
      <c r="L81" s="11"/>
      <c r="M81" s="11"/>
      <c r="N81" s="11"/>
      <c r="O81" s="11"/>
      <c r="P81" s="12"/>
      <c r="Q81" s="13"/>
      <c r="R81" s="13"/>
    </row>
    <row r="82" ht="15" customHeight="1" s="4" customFormat="1">
      <c r="A82" s="9"/>
      <c r="B82" s="10"/>
      <c r="C82" s="11"/>
      <c r="D82" s="11"/>
      <c r="E82" s="9"/>
      <c r="F82" s="12"/>
      <c r="G82" s="12"/>
      <c r="H82" s="11"/>
      <c r="I82" s="11"/>
      <c r="J82" s="11"/>
      <c r="K82" s="11"/>
      <c r="L82" s="11"/>
      <c r="M82" s="11"/>
      <c r="N82" s="11"/>
      <c r="O82" s="11"/>
      <c r="P82" s="12"/>
      <c r="Q82" s="13"/>
      <c r="R82" s="13"/>
    </row>
    <row r="83" ht="15" customHeight="1" s="4" customFormat="1">
      <c r="A83" s="9"/>
      <c r="B83" s="10"/>
      <c r="C83" s="11"/>
      <c r="D83" s="11"/>
      <c r="E83" s="9"/>
      <c r="F83" s="12"/>
      <c r="G83" s="12"/>
      <c r="H83" s="11"/>
      <c r="I83" s="11"/>
      <c r="J83" s="11"/>
      <c r="K83" s="11"/>
      <c r="L83" s="11"/>
      <c r="M83" s="11"/>
      <c r="N83" s="11"/>
      <c r="O83" s="11"/>
      <c r="P83" s="12"/>
      <c r="Q83" s="13"/>
      <c r="R83" s="13"/>
    </row>
    <row r="84" ht="15" customHeight="1" s="4" customFormat="1">
      <c r="A84" s="9"/>
      <c r="B84" s="10"/>
      <c r="C84" s="11"/>
      <c r="D84" s="11"/>
      <c r="E84" s="9"/>
      <c r="F84" s="12"/>
      <c r="G84" s="12"/>
      <c r="H84" s="11"/>
      <c r="I84" s="11"/>
      <c r="J84" s="11"/>
      <c r="K84" s="11"/>
      <c r="L84" s="11"/>
      <c r="M84" s="11"/>
      <c r="N84" s="11"/>
      <c r="O84" s="11"/>
      <c r="P84" s="12"/>
      <c r="Q84" s="13"/>
      <c r="R84" s="13"/>
    </row>
    <row r="85" ht="15" customHeight="1" s="4" customFormat="1">
      <c r="A85" s="9"/>
      <c r="B85" s="10"/>
      <c r="C85" s="11"/>
      <c r="D85" s="11"/>
      <c r="E85" s="9"/>
      <c r="F85" s="12"/>
      <c r="G85" s="12"/>
      <c r="H85" s="11"/>
      <c r="I85" s="11"/>
      <c r="J85" s="11"/>
      <c r="K85" s="11"/>
      <c r="L85" s="11"/>
      <c r="M85" s="11"/>
      <c r="N85" s="11"/>
      <c r="O85" s="11"/>
      <c r="P85" s="12"/>
      <c r="Q85" s="13"/>
      <c r="R85" s="13"/>
    </row>
    <row r="86" ht="15" customHeight="1" s="4" customFormat="1">
      <c r="A86" s="9"/>
      <c r="B86" s="10"/>
      <c r="C86" s="11"/>
      <c r="D86" s="11"/>
      <c r="E86" s="9"/>
      <c r="F86" s="12"/>
      <c r="G86" s="12"/>
      <c r="H86" s="11"/>
      <c r="I86" s="11"/>
      <c r="J86" s="11"/>
      <c r="K86" s="11"/>
      <c r="L86" s="11"/>
      <c r="M86" s="11"/>
      <c r="N86" s="11"/>
      <c r="O86" s="11"/>
      <c r="P86" s="12"/>
      <c r="Q86" s="13"/>
      <c r="R86" s="13"/>
    </row>
    <row r="87" ht="15" customHeight="1" s="4" customFormat="1">
      <c r="A87" s="9"/>
      <c r="B87" s="10"/>
      <c r="C87" s="11"/>
      <c r="D87" s="11"/>
      <c r="E87" s="9"/>
      <c r="F87" s="12"/>
      <c r="G87" s="12"/>
      <c r="H87" s="11"/>
      <c r="I87" s="11"/>
      <c r="J87" s="11"/>
      <c r="K87" s="11"/>
      <c r="L87" s="11"/>
      <c r="M87" s="11"/>
      <c r="N87" s="11"/>
      <c r="O87" s="11"/>
      <c r="P87" s="12"/>
      <c r="Q87" s="13"/>
      <c r="R87" s="13"/>
    </row>
    <row r="88" ht="15" customHeight="1" s="4" customFormat="1">
      <c r="A88" s="9"/>
      <c r="B88" s="10"/>
      <c r="C88" s="11"/>
      <c r="D88" s="11"/>
      <c r="E88" s="9"/>
      <c r="F88" s="12"/>
      <c r="G88" s="12"/>
      <c r="H88" s="11"/>
      <c r="I88" s="11"/>
      <c r="J88" s="11"/>
      <c r="K88" s="11"/>
      <c r="L88" s="11"/>
      <c r="M88" s="11"/>
      <c r="N88" s="11"/>
      <c r="O88" s="11"/>
      <c r="P88" s="12"/>
      <c r="Q88" s="13"/>
      <c r="R88" s="13"/>
    </row>
    <row r="89" ht="15" customHeight="1" s="4" customFormat="1">
      <c r="A89" s="9"/>
      <c r="B89" s="10"/>
      <c r="C89" s="11"/>
      <c r="D89" s="11"/>
      <c r="E89" s="9"/>
      <c r="F89" s="12"/>
      <c r="G89" s="12"/>
      <c r="H89" s="11"/>
      <c r="I89" s="11"/>
      <c r="J89" s="11"/>
      <c r="K89" s="11"/>
      <c r="L89" s="11"/>
      <c r="M89" s="11"/>
      <c r="N89" s="11"/>
      <c r="O89" s="11"/>
      <c r="P89" s="12"/>
      <c r="Q89" s="13"/>
      <c r="R89" s="13"/>
    </row>
    <row r="90" ht="15" customHeight="1" s="4" customFormat="1">
      <c r="A90" s="9"/>
      <c r="B90" s="10"/>
      <c r="C90" s="11"/>
      <c r="D90" s="11"/>
      <c r="E90" s="9"/>
      <c r="F90" s="12"/>
      <c r="G90" s="12"/>
      <c r="H90" s="11"/>
      <c r="I90" s="11"/>
      <c r="J90" s="11"/>
      <c r="K90" s="11"/>
      <c r="L90" s="11"/>
      <c r="M90" s="11"/>
      <c r="N90" s="11"/>
      <c r="O90" s="11"/>
      <c r="P90" s="12"/>
      <c r="Q90" s="13"/>
      <c r="R90" s="13"/>
    </row>
    <row r="91" ht="15" customHeight="1" s="4" customFormat="1">
      <c r="A91" s="9"/>
      <c r="B91" s="10"/>
      <c r="C91" s="11"/>
      <c r="D91" s="11"/>
      <c r="E91" s="9"/>
      <c r="F91" s="12"/>
      <c r="G91" s="12"/>
      <c r="H91" s="11"/>
      <c r="I91" s="11"/>
      <c r="J91" s="11"/>
      <c r="K91" s="11"/>
      <c r="L91" s="11"/>
      <c r="M91" s="11"/>
      <c r="N91" s="11"/>
      <c r="O91" s="11"/>
      <c r="P91" s="12"/>
      <c r="Q91" s="13"/>
      <c r="R91" s="13"/>
    </row>
    <row r="92" ht="15" customHeight="1" s="4" customFormat="1">
      <c r="A92" s="9"/>
      <c r="B92" s="10"/>
      <c r="C92" s="11"/>
      <c r="D92" s="11"/>
      <c r="E92" s="9"/>
      <c r="F92" s="12"/>
      <c r="G92" s="12"/>
      <c r="H92" s="11"/>
      <c r="I92" s="11"/>
      <c r="J92" s="11"/>
      <c r="K92" s="11"/>
      <c r="L92" s="11"/>
      <c r="M92" s="11"/>
      <c r="N92" s="11"/>
      <c r="O92" s="11"/>
      <c r="P92" s="12"/>
      <c r="Q92" s="13"/>
      <c r="R92" s="13"/>
    </row>
    <row r="93" ht="15" customHeight="1" s="4" customFormat="1">
      <c r="A93" s="9"/>
      <c r="B93" s="10"/>
      <c r="C93" s="11"/>
      <c r="D93" s="11"/>
      <c r="E93" s="9"/>
      <c r="F93" s="12"/>
      <c r="G93" s="12"/>
      <c r="H93" s="11"/>
      <c r="I93" s="11"/>
      <c r="J93" s="11"/>
      <c r="K93" s="11"/>
      <c r="L93" s="11"/>
      <c r="M93" s="11"/>
      <c r="N93" s="11"/>
      <c r="O93" s="11"/>
      <c r="P93" s="12"/>
      <c r="Q93" s="13"/>
      <c r="R93" s="13"/>
    </row>
    <row r="94" ht="15" customHeight="1" s="4" customFormat="1">
      <c r="A94" s="9"/>
      <c r="B94" s="10"/>
      <c r="C94" s="11"/>
      <c r="D94" s="11"/>
      <c r="E94" s="9"/>
      <c r="F94" s="12"/>
      <c r="G94" s="12"/>
      <c r="H94" s="11"/>
      <c r="I94" s="11"/>
      <c r="J94" s="11"/>
      <c r="K94" s="11"/>
      <c r="L94" s="11"/>
      <c r="M94" s="11"/>
      <c r="N94" s="11"/>
      <c r="O94" s="11"/>
      <c r="P94" s="12"/>
      <c r="Q94" s="13"/>
      <c r="R94" s="13"/>
    </row>
    <row r="95" ht="15" customHeight="1" s="4" customFormat="1">
      <c r="A95" s="9"/>
      <c r="B95" s="10"/>
      <c r="C95" s="11"/>
      <c r="D95" s="11"/>
      <c r="E95" s="9"/>
      <c r="F95" s="12"/>
      <c r="G95" s="12"/>
      <c r="H95" s="11"/>
      <c r="I95" s="11"/>
      <c r="J95" s="11"/>
      <c r="K95" s="11"/>
      <c r="L95" s="11"/>
      <c r="M95" s="11"/>
      <c r="N95" s="11"/>
      <c r="O95" s="11"/>
      <c r="P95" s="12"/>
      <c r="Q95" s="13"/>
      <c r="R95" s="13"/>
    </row>
    <row r="96" ht="15" customHeight="1" s="4" customFormat="1">
      <c r="A96" s="9"/>
      <c r="B96" s="10"/>
      <c r="C96" s="11"/>
      <c r="D96" s="11"/>
      <c r="E96" s="9"/>
      <c r="F96" s="12"/>
      <c r="G96" s="12"/>
      <c r="H96" s="11"/>
      <c r="I96" s="11"/>
      <c r="J96" s="11"/>
      <c r="K96" s="11"/>
      <c r="L96" s="11"/>
      <c r="M96" s="11"/>
      <c r="N96" s="11"/>
      <c r="O96" s="11"/>
      <c r="P96" s="12"/>
      <c r="Q96" s="13"/>
      <c r="R96" s="13"/>
    </row>
    <row r="97" ht="15" customHeight="1" s="4" customFormat="1">
      <c r="A97" s="9"/>
      <c r="B97" s="10"/>
      <c r="C97" s="11"/>
      <c r="D97" s="11"/>
      <c r="E97" s="9"/>
      <c r="F97" s="12"/>
      <c r="G97" s="12"/>
      <c r="H97" s="11"/>
      <c r="I97" s="11"/>
      <c r="J97" s="11"/>
      <c r="K97" s="11"/>
      <c r="L97" s="11"/>
      <c r="M97" s="11"/>
      <c r="N97" s="11"/>
      <c r="O97" s="11"/>
      <c r="P97" s="12"/>
      <c r="Q97" s="13"/>
      <c r="R97" s="13"/>
    </row>
    <row r="98" ht="15" customHeight="1" s="4" customFormat="1">
      <c r="A98" s="9"/>
      <c r="B98" s="10"/>
      <c r="C98" s="11"/>
      <c r="D98" s="11"/>
      <c r="E98" s="9"/>
      <c r="F98" s="12"/>
      <c r="G98" s="12"/>
      <c r="H98" s="11"/>
      <c r="I98" s="11"/>
      <c r="J98" s="11"/>
      <c r="K98" s="11"/>
      <c r="L98" s="11"/>
      <c r="M98" s="11"/>
      <c r="N98" s="11"/>
      <c r="O98" s="11"/>
      <c r="P98" s="12"/>
      <c r="Q98" s="13"/>
      <c r="R98" s="13"/>
    </row>
    <row r="99" ht="15" customHeight="1" s="4" customFormat="1">
      <c r="A99" s="9"/>
      <c r="B99" s="10"/>
      <c r="C99" s="11"/>
      <c r="D99" s="11"/>
      <c r="E99" s="9"/>
      <c r="F99" s="12"/>
      <c r="G99" s="12"/>
      <c r="H99" s="11"/>
      <c r="I99" s="11"/>
      <c r="J99" s="11"/>
      <c r="K99" s="11"/>
      <c r="L99" s="11"/>
      <c r="M99" s="11"/>
      <c r="N99" s="11"/>
      <c r="O99" s="11"/>
      <c r="P99" s="12"/>
      <c r="Q99" s="13"/>
      <c r="R99" s="13"/>
    </row>
    <row r="100" ht="15" customHeight="1" s="4" customFormat="1">
      <c r="A100" s="9"/>
      <c r="B100" s="10"/>
      <c r="C100" s="11"/>
      <c r="D100" s="11"/>
      <c r="E100" s="9"/>
      <c r="F100" s="12"/>
      <c r="G100" s="12"/>
      <c r="H100" s="11"/>
      <c r="I100" s="11"/>
      <c r="J100" s="11"/>
      <c r="K100" s="11"/>
      <c r="L100" s="11"/>
      <c r="M100" s="11"/>
      <c r="N100" s="11"/>
      <c r="O100" s="11"/>
      <c r="P100" s="12"/>
      <c r="Q100" s="13"/>
      <c r="R100" s="13"/>
    </row>
    <row r="101" ht="15" customHeight="1" s="4" customFormat="1">
      <c r="A101" s="9"/>
      <c r="B101" s="10"/>
      <c r="C101" s="11"/>
      <c r="D101" s="11"/>
      <c r="E101" s="9"/>
      <c r="F101" s="12"/>
      <c r="G101" s="12"/>
      <c r="H101" s="11"/>
      <c r="I101" s="11"/>
      <c r="J101" s="11"/>
      <c r="K101" s="11"/>
      <c r="L101" s="11"/>
      <c r="M101" s="11"/>
      <c r="N101" s="11"/>
      <c r="O101" s="11"/>
      <c r="P101" s="12"/>
      <c r="Q101" s="13"/>
      <c r="R101" s="13"/>
    </row>
    <row r="102" ht="15" customHeight="1" s="4" customFormat="1">
      <c r="A102" s="9"/>
      <c r="B102" s="10"/>
      <c r="C102" s="11"/>
      <c r="D102" s="11"/>
      <c r="E102" s="9"/>
      <c r="F102" s="12"/>
      <c r="G102" s="12"/>
      <c r="H102" s="11"/>
      <c r="I102" s="11"/>
      <c r="J102" s="11"/>
      <c r="K102" s="11"/>
      <c r="L102" s="11"/>
      <c r="M102" s="11"/>
      <c r="N102" s="11"/>
      <c r="O102" s="11"/>
      <c r="P102" s="12"/>
      <c r="Q102" s="13"/>
      <c r="R102" s="13"/>
    </row>
    <row r="103" ht="15" customHeight="1" s="4" customFormat="1">
      <c r="A103" s="9"/>
      <c r="B103" s="10"/>
      <c r="C103" s="11"/>
      <c r="D103" s="11"/>
      <c r="E103" s="9"/>
      <c r="F103" s="12"/>
      <c r="G103" s="12"/>
      <c r="H103" s="11"/>
      <c r="I103" s="11"/>
      <c r="J103" s="11"/>
      <c r="K103" s="11"/>
      <c r="L103" s="11"/>
      <c r="M103" s="11"/>
      <c r="N103" s="11"/>
      <c r="O103" s="11"/>
      <c r="P103" s="12"/>
      <c r="Q103" s="13"/>
      <c r="R103" s="13"/>
    </row>
    <row r="104" ht="15" customHeight="1" s="4" customFormat="1">
      <c r="A104" s="9"/>
      <c r="B104" s="10"/>
      <c r="C104" s="11"/>
      <c r="D104" s="11"/>
      <c r="E104" s="9"/>
      <c r="F104" s="12"/>
      <c r="G104" s="12"/>
      <c r="H104" s="11"/>
      <c r="I104" s="11"/>
      <c r="J104" s="11"/>
      <c r="K104" s="11"/>
      <c r="L104" s="11"/>
      <c r="M104" s="11"/>
      <c r="N104" s="11"/>
      <c r="O104" s="11"/>
      <c r="P104" s="12"/>
      <c r="Q104" s="13"/>
      <c r="R104" s="13"/>
    </row>
    <row r="105" ht="15" customHeight="1" s="4" customFormat="1">
      <c r="A105" s="9"/>
      <c r="B105" s="10"/>
      <c r="C105" s="11"/>
      <c r="D105" s="11"/>
      <c r="E105" s="9"/>
      <c r="F105" s="12"/>
      <c r="G105" s="12"/>
      <c r="H105" s="11"/>
      <c r="I105" s="11"/>
      <c r="J105" s="11"/>
      <c r="K105" s="11"/>
      <c r="L105" s="11"/>
      <c r="M105" s="11"/>
      <c r="N105" s="11"/>
      <c r="O105" s="11"/>
      <c r="P105" s="12"/>
      <c r="Q105" s="13"/>
      <c r="R105" s="13"/>
    </row>
    <row r="106" ht="15" customHeight="1" s="4" customFormat="1">
      <c r="A106" s="9"/>
      <c r="B106" s="10"/>
      <c r="C106" s="11"/>
      <c r="D106" s="11"/>
      <c r="E106" s="9"/>
      <c r="F106" s="12"/>
      <c r="G106" s="12"/>
      <c r="H106" s="11"/>
      <c r="I106" s="11"/>
      <c r="J106" s="11"/>
      <c r="K106" s="11"/>
      <c r="L106" s="11"/>
      <c r="M106" s="11"/>
      <c r="N106" s="11"/>
      <c r="O106" s="11"/>
      <c r="P106" s="12"/>
      <c r="Q106" s="13"/>
      <c r="R106" s="13"/>
    </row>
    <row r="107" ht="15" customHeight="1" s="4" customFormat="1">
      <c r="A107" s="9"/>
      <c r="B107" s="10"/>
      <c r="C107" s="11"/>
      <c r="D107" s="11"/>
      <c r="E107" s="9"/>
      <c r="F107" s="12"/>
      <c r="G107" s="12"/>
      <c r="H107" s="11"/>
      <c r="I107" s="11"/>
      <c r="J107" s="11"/>
      <c r="K107" s="11"/>
      <c r="L107" s="11"/>
      <c r="M107" s="11"/>
      <c r="N107" s="11"/>
      <c r="O107" s="11"/>
      <c r="P107" s="12"/>
      <c r="Q107" s="13"/>
      <c r="R107" s="13"/>
    </row>
    <row r="108" ht="15" customHeight="1" s="4" customFormat="1">
      <c r="A108" s="9"/>
      <c r="B108" s="10"/>
      <c r="C108" s="11"/>
      <c r="D108" s="11"/>
      <c r="E108" s="9"/>
      <c r="F108" s="12"/>
      <c r="G108" s="12"/>
      <c r="H108" s="11"/>
      <c r="I108" s="11"/>
      <c r="J108" s="11"/>
      <c r="K108" s="11"/>
      <c r="L108" s="11"/>
      <c r="M108" s="11"/>
      <c r="N108" s="11"/>
      <c r="O108" s="11"/>
      <c r="P108" s="12"/>
      <c r="Q108" s="13"/>
      <c r="R108" s="13"/>
    </row>
    <row r="109" ht="15" customHeight="1" s="4" customFormat="1">
      <c r="A109" s="9"/>
      <c r="B109" s="10"/>
      <c r="C109" s="11"/>
      <c r="D109" s="11"/>
      <c r="E109" s="9"/>
      <c r="F109" s="12"/>
      <c r="G109" s="12"/>
      <c r="H109" s="11"/>
      <c r="I109" s="11"/>
      <c r="J109" s="11"/>
      <c r="K109" s="11"/>
      <c r="L109" s="11"/>
      <c r="M109" s="11"/>
      <c r="N109" s="11"/>
      <c r="O109" s="11"/>
      <c r="P109" s="12"/>
      <c r="Q109" s="13"/>
      <c r="R109" s="13"/>
    </row>
    <row r="110" ht="15" customHeight="1" s="4" customFormat="1">
      <c r="A110" s="9"/>
      <c r="B110" s="10"/>
      <c r="C110" s="11"/>
      <c r="D110" s="11"/>
      <c r="E110" s="9"/>
      <c r="F110" s="12"/>
      <c r="G110" s="12"/>
      <c r="H110" s="11"/>
      <c r="I110" s="11"/>
      <c r="J110" s="11"/>
      <c r="K110" s="11"/>
      <c r="L110" s="11"/>
      <c r="M110" s="11"/>
      <c r="N110" s="11"/>
      <c r="O110" s="11"/>
      <c r="P110" s="12"/>
      <c r="Q110" s="13"/>
      <c r="R110" s="13"/>
    </row>
    <row r="111" ht="15" customHeight="1" s="4" customFormat="1">
      <c r="A111" s="9"/>
      <c r="B111" s="10"/>
      <c r="C111" s="11"/>
      <c r="D111" s="11"/>
      <c r="E111" s="9"/>
      <c r="F111" s="12"/>
      <c r="G111" s="12"/>
      <c r="H111" s="11"/>
      <c r="I111" s="11"/>
      <c r="J111" s="11"/>
      <c r="K111" s="11"/>
      <c r="L111" s="11"/>
      <c r="M111" s="11"/>
      <c r="N111" s="11"/>
      <c r="O111" s="11"/>
      <c r="P111" s="12"/>
      <c r="Q111" s="13"/>
      <c r="R111" s="13"/>
    </row>
    <row r="112" ht="15" customHeight="1" s="4" customFormat="1">
      <c r="A112" s="9"/>
      <c r="B112" s="10"/>
      <c r="C112" s="11"/>
      <c r="D112" s="11"/>
      <c r="E112" s="9"/>
      <c r="F112" s="12"/>
      <c r="G112" s="12"/>
      <c r="H112" s="11"/>
      <c r="I112" s="11"/>
      <c r="J112" s="11"/>
      <c r="K112" s="11"/>
      <c r="L112" s="11"/>
      <c r="M112" s="11"/>
      <c r="N112" s="11"/>
      <c r="O112" s="11"/>
      <c r="P112" s="12"/>
      <c r="Q112" s="13"/>
      <c r="R112" s="13"/>
    </row>
    <row r="113" ht="15" customHeight="1" s="4" customFormat="1">
      <c r="A113" s="9"/>
      <c r="B113" s="10"/>
      <c r="C113" s="11"/>
      <c r="D113" s="11"/>
      <c r="E113" s="9"/>
      <c r="F113" s="12"/>
      <c r="G113" s="12"/>
      <c r="H113" s="11"/>
      <c r="I113" s="11"/>
      <c r="J113" s="11"/>
      <c r="K113" s="11"/>
      <c r="L113" s="11"/>
      <c r="M113" s="11"/>
      <c r="N113" s="11"/>
      <c r="O113" s="11"/>
      <c r="P113" s="12"/>
      <c r="Q113" s="13"/>
      <c r="R113" s="13"/>
    </row>
    <row r="114" ht="15" customHeight="1" s="4" customFormat="1">
      <c r="A114" s="9"/>
      <c r="B114" s="10"/>
      <c r="C114" s="11"/>
      <c r="D114" s="11"/>
      <c r="E114" s="9"/>
      <c r="F114" s="12"/>
      <c r="G114" s="12"/>
      <c r="H114" s="11"/>
      <c r="I114" s="11"/>
      <c r="J114" s="11"/>
      <c r="K114" s="11"/>
      <c r="L114" s="11"/>
      <c r="M114" s="11"/>
      <c r="N114" s="11"/>
      <c r="O114" s="11"/>
      <c r="P114" s="12"/>
      <c r="Q114" s="13"/>
      <c r="R114" s="13"/>
    </row>
    <row r="115" ht="15" customHeight="1" s="4" customFormat="1">
      <c r="A115" s="9"/>
      <c r="B115" s="10"/>
      <c r="C115" s="11"/>
      <c r="D115" s="11"/>
      <c r="E115" s="9"/>
      <c r="F115" s="12"/>
      <c r="G115" s="12"/>
      <c r="H115" s="11"/>
      <c r="I115" s="11"/>
      <c r="J115" s="11"/>
      <c r="K115" s="11"/>
      <c r="L115" s="11"/>
      <c r="M115" s="11"/>
      <c r="N115" s="11"/>
      <c r="O115" s="11"/>
      <c r="P115" s="12"/>
      <c r="Q115" s="13"/>
      <c r="R115" s="13"/>
    </row>
    <row r="116" ht="15" customHeight="1" s="4" customFormat="1">
      <c r="A116" s="9"/>
      <c r="B116" s="10"/>
      <c r="C116" s="11"/>
      <c r="D116" s="11"/>
      <c r="E116" s="9"/>
      <c r="F116" s="12"/>
      <c r="G116" s="12"/>
      <c r="H116" s="11"/>
      <c r="I116" s="11"/>
      <c r="J116" s="11"/>
      <c r="K116" s="11"/>
      <c r="L116" s="11"/>
      <c r="M116" s="11"/>
      <c r="N116" s="11"/>
      <c r="O116" s="11"/>
      <c r="P116" s="12"/>
      <c r="Q116" s="13"/>
      <c r="R116" s="13"/>
    </row>
    <row r="117" ht="15" customHeight="1" s="4" customFormat="1">
      <c r="A117" s="9"/>
      <c r="B117" s="10"/>
      <c r="C117" s="11"/>
      <c r="D117" s="11"/>
      <c r="E117" s="9"/>
      <c r="F117" s="12"/>
      <c r="G117" s="12"/>
      <c r="H117" s="11"/>
      <c r="I117" s="11"/>
      <c r="J117" s="11"/>
      <c r="K117" s="11"/>
      <c r="L117" s="11"/>
      <c r="M117" s="11"/>
      <c r="N117" s="11"/>
      <c r="O117" s="11"/>
      <c r="P117" s="12"/>
      <c r="Q117" s="13"/>
      <c r="R117" s="13"/>
    </row>
    <row r="118" ht="15" customHeight="1" s="4" customFormat="1">
      <c r="A118" s="9"/>
      <c r="B118" s="10"/>
      <c r="C118" s="11"/>
      <c r="D118" s="11"/>
      <c r="E118" s="9"/>
      <c r="F118" s="12"/>
      <c r="G118" s="12"/>
      <c r="H118" s="11"/>
      <c r="I118" s="11"/>
      <c r="J118" s="11"/>
      <c r="K118" s="11"/>
      <c r="L118" s="11"/>
      <c r="M118" s="11"/>
      <c r="N118" s="11"/>
      <c r="O118" s="11"/>
      <c r="P118" s="12"/>
      <c r="Q118" s="13"/>
      <c r="R118" s="13"/>
    </row>
    <row r="119" ht="15" customHeight="1" s="4" customFormat="1">
      <c r="A119" s="9"/>
      <c r="B119" s="10"/>
      <c r="C119" s="11"/>
      <c r="D119" s="11"/>
      <c r="E119" s="9"/>
      <c r="F119" s="12"/>
      <c r="G119" s="12"/>
      <c r="H119" s="11"/>
      <c r="I119" s="11"/>
      <c r="J119" s="11"/>
      <c r="K119" s="11"/>
      <c r="L119" s="11"/>
      <c r="M119" s="11"/>
      <c r="N119" s="11"/>
      <c r="O119" s="11"/>
      <c r="P119" s="12"/>
      <c r="Q119" s="13"/>
      <c r="R119" s="13"/>
    </row>
    <row r="120" ht="15" customHeight="1" s="4" customFormat="1">
      <c r="A120" s="9"/>
      <c r="B120" s="10"/>
      <c r="C120" s="11"/>
      <c r="D120" s="11"/>
      <c r="E120" s="9"/>
      <c r="F120" s="12"/>
      <c r="G120" s="12"/>
      <c r="H120" s="11"/>
      <c r="I120" s="11"/>
      <c r="J120" s="11"/>
      <c r="K120" s="11"/>
      <c r="L120" s="11"/>
      <c r="M120" s="11"/>
      <c r="N120" s="11"/>
      <c r="O120" s="11"/>
      <c r="P120" s="12"/>
      <c r="Q120" s="13"/>
      <c r="R120" s="13"/>
    </row>
    <row r="121" ht="15" customHeight="1" s="4" customFormat="1">
      <c r="A121" s="9"/>
      <c r="B121" s="10"/>
      <c r="C121" s="11"/>
      <c r="D121" s="11"/>
      <c r="E121" s="9"/>
      <c r="F121" s="12"/>
      <c r="G121" s="12"/>
      <c r="H121" s="11"/>
      <c r="I121" s="11"/>
      <c r="J121" s="11"/>
      <c r="K121" s="11"/>
      <c r="L121" s="11"/>
      <c r="M121" s="11"/>
      <c r="N121" s="11"/>
      <c r="O121" s="11"/>
      <c r="P121" s="12"/>
      <c r="Q121" s="13"/>
      <c r="R121" s="13"/>
    </row>
    <row r="122" ht="15" customHeight="1" s="4" customFormat="1">
      <c r="A122" s="9"/>
      <c r="B122" s="10"/>
      <c r="C122" s="11"/>
      <c r="D122" s="11"/>
      <c r="E122" s="9"/>
      <c r="F122" s="12"/>
      <c r="G122" s="12"/>
      <c r="H122" s="11"/>
      <c r="I122" s="11"/>
      <c r="J122" s="11"/>
      <c r="K122" s="11"/>
      <c r="L122" s="11"/>
      <c r="M122" s="11"/>
      <c r="N122" s="11"/>
      <c r="O122" s="11"/>
      <c r="P122" s="12"/>
      <c r="Q122" s="13"/>
      <c r="R122" s="13"/>
    </row>
    <row r="123" ht="15" customHeight="1" s="4" customFormat="1">
      <c r="A123" s="9"/>
      <c r="B123" s="10"/>
      <c r="C123" s="11"/>
      <c r="D123" s="11"/>
      <c r="E123" s="9"/>
      <c r="F123" s="12"/>
      <c r="G123" s="12"/>
      <c r="H123" s="11"/>
      <c r="I123" s="11"/>
      <c r="J123" s="11"/>
      <c r="K123" s="11"/>
      <c r="L123" s="11"/>
      <c r="M123" s="11"/>
      <c r="N123" s="11"/>
      <c r="O123" s="11"/>
      <c r="P123" s="12"/>
      <c r="Q123" s="13"/>
      <c r="R123" s="13"/>
    </row>
    <row r="124" ht="15" customHeight="1" s="4" customFormat="1">
      <c r="A124" s="9"/>
      <c r="B124" s="10"/>
      <c r="C124" s="11"/>
      <c r="D124" s="11"/>
      <c r="E124" s="9"/>
      <c r="F124" s="12"/>
      <c r="G124" s="12"/>
      <c r="H124" s="11"/>
      <c r="I124" s="11"/>
      <c r="J124" s="11"/>
      <c r="K124" s="11"/>
      <c r="L124" s="11"/>
      <c r="M124" s="11"/>
      <c r="N124" s="11"/>
      <c r="O124" s="11"/>
      <c r="P124" s="12"/>
      <c r="Q124" s="13"/>
      <c r="R124" s="13"/>
    </row>
    <row r="125" ht="15" customHeight="1" s="4" customFormat="1">
      <c r="A125" s="9"/>
      <c r="B125" s="10"/>
      <c r="C125" s="11"/>
      <c r="D125" s="11"/>
      <c r="E125" s="9"/>
      <c r="F125" s="12"/>
      <c r="G125" s="12"/>
      <c r="H125" s="11"/>
      <c r="I125" s="11"/>
      <c r="J125" s="11"/>
      <c r="K125" s="11"/>
      <c r="L125" s="11"/>
      <c r="M125" s="11"/>
      <c r="N125" s="11"/>
      <c r="O125" s="11"/>
      <c r="P125" s="12"/>
      <c r="Q125" s="13"/>
      <c r="R125" s="13"/>
    </row>
    <row r="126" ht="15" customHeight="1" s="4" customFormat="1">
      <c r="A126" s="9"/>
      <c r="B126" s="10"/>
      <c r="C126" s="11"/>
      <c r="D126" s="11"/>
      <c r="E126" s="9"/>
      <c r="F126" s="12"/>
      <c r="G126" s="12"/>
      <c r="H126" s="11"/>
      <c r="I126" s="11"/>
      <c r="J126" s="11"/>
      <c r="K126" s="11"/>
      <c r="L126" s="11"/>
      <c r="M126" s="11"/>
      <c r="N126" s="11"/>
      <c r="O126" s="11"/>
      <c r="P126" s="12"/>
      <c r="Q126" s="13"/>
      <c r="R126" s="13"/>
    </row>
    <row r="127" ht="15" customHeight="1" s="4" customFormat="1">
      <c r="A127" s="9"/>
      <c r="B127" s="10"/>
      <c r="C127" s="11"/>
      <c r="D127" s="11"/>
      <c r="E127" s="9"/>
      <c r="F127" s="12"/>
      <c r="G127" s="12"/>
      <c r="H127" s="11"/>
      <c r="I127" s="11"/>
      <c r="J127" s="11"/>
      <c r="K127" s="11"/>
      <c r="L127" s="11"/>
      <c r="M127" s="11"/>
      <c r="N127" s="11"/>
      <c r="O127" s="11"/>
      <c r="P127" s="12"/>
      <c r="Q127" s="13"/>
      <c r="R127" s="13"/>
    </row>
    <row r="128" ht="15" customHeight="1" s="4" customFormat="1">
      <c r="A128" s="9"/>
      <c r="B128" s="10"/>
      <c r="C128" s="11"/>
      <c r="D128" s="11"/>
      <c r="E128" s="9"/>
      <c r="F128" s="12"/>
      <c r="G128" s="12"/>
      <c r="H128" s="11"/>
      <c r="I128" s="11"/>
      <c r="J128" s="11"/>
      <c r="K128" s="11"/>
      <c r="L128" s="11"/>
      <c r="M128" s="11"/>
      <c r="N128" s="11"/>
      <c r="O128" s="11"/>
      <c r="P128" s="12"/>
      <c r="Q128" s="13"/>
      <c r="R128" s="13"/>
    </row>
    <row r="129" ht="15" customHeight="1" s="4" customFormat="1">
      <c r="A129" s="9"/>
      <c r="B129" s="10"/>
      <c r="C129" s="11"/>
      <c r="D129" s="11"/>
      <c r="E129" s="9"/>
      <c r="F129" s="12"/>
      <c r="G129" s="12"/>
      <c r="H129" s="11"/>
      <c r="I129" s="11"/>
      <c r="J129" s="11"/>
      <c r="K129" s="11"/>
      <c r="L129" s="11"/>
      <c r="M129" s="11"/>
      <c r="N129" s="11"/>
      <c r="O129" s="11"/>
      <c r="P129" s="12"/>
      <c r="Q129" s="13"/>
      <c r="R129" s="13"/>
    </row>
    <row r="130" ht="15" customHeight="1" s="4" customFormat="1">
      <c r="A130" s="9"/>
      <c r="B130" s="10"/>
      <c r="C130" s="11"/>
      <c r="D130" s="11"/>
      <c r="E130" s="9"/>
      <c r="F130" s="12"/>
      <c r="G130" s="12"/>
      <c r="H130" s="11"/>
      <c r="I130" s="11"/>
      <c r="J130" s="11"/>
      <c r="K130" s="11"/>
      <c r="L130" s="11"/>
      <c r="M130" s="11"/>
      <c r="N130" s="11"/>
      <c r="O130" s="11"/>
      <c r="P130" s="12"/>
      <c r="Q130" s="13"/>
      <c r="R130" s="13"/>
    </row>
    <row r="131" ht="15" customHeight="1" s="4" customFormat="1">
      <c r="A131" s="9"/>
      <c r="B131" s="10"/>
      <c r="C131" s="11"/>
      <c r="D131" s="11"/>
      <c r="E131" s="9"/>
      <c r="F131" s="12"/>
      <c r="G131" s="12"/>
      <c r="H131" s="11"/>
      <c r="I131" s="11"/>
      <c r="J131" s="11"/>
      <c r="K131" s="11"/>
      <c r="L131" s="11"/>
      <c r="M131" s="11"/>
      <c r="N131" s="11"/>
      <c r="O131" s="11"/>
      <c r="P131" s="12"/>
      <c r="Q131" s="13"/>
      <c r="R131" s="13"/>
    </row>
    <row r="132" ht="15" customHeight="1" s="4" customFormat="1">
      <c r="A132" s="9"/>
      <c r="B132" s="10"/>
      <c r="C132" s="11"/>
      <c r="D132" s="11"/>
      <c r="E132" s="9"/>
      <c r="F132" s="12"/>
      <c r="G132" s="12"/>
      <c r="H132" s="11"/>
      <c r="I132" s="11"/>
      <c r="J132" s="11"/>
      <c r="K132" s="11"/>
      <c r="L132" s="11"/>
      <c r="M132" s="11"/>
      <c r="N132" s="11"/>
      <c r="O132" s="11"/>
      <c r="P132" s="12"/>
      <c r="Q132" s="13"/>
      <c r="R132" s="13"/>
    </row>
    <row r="133" ht="15" customHeight="1" s="4" customFormat="1">
      <c r="A133" s="9"/>
      <c r="B133" s="10"/>
      <c r="C133" s="11"/>
      <c r="D133" s="11"/>
      <c r="E133" s="9"/>
      <c r="F133" s="12"/>
      <c r="G133" s="12"/>
      <c r="H133" s="11"/>
      <c r="I133" s="11"/>
      <c r="J133" s="11"/>
      <c r="K133" s="11"/>
      <c r="L133" s="11"/>
      <c r="M133" s="11"/>
      <c r="N133" s="11"/>
      <c r="O133" s="11"/>
      <c r="P133" s="12"/>
      <c r="Q133" s="13"/>
      <c r="R133" s="13"/>
    </row>
    <row r="134" ht="15" customHeight="1" s="4" customFormat="1">
      <c r="A134" s="9"/>
      <c r="B134" s="10"/>
      <c r="C134" s="11"/>
      <c r="D134" s="11"/>
      <c r="E134" s="9"/>
      <c r="F134" s="12"/>
      <c r="G134" s="12"/>
      <c r="H134" s="11"/>
      <c r="I134" s="11"/>
      <c r="J134" s="11"/>
      <c r="K134" s="11"/>
      <c r="L134" s="11"/>
      <c r="M134" s="11"/>
      <c r="N134" s="11"/>
      <c r="O134" s="11"/>
      <c r="P134" s="12"/>
      <c r="Q134" s="13"/>
      <c r="R134" s="13"/>
    </row>
    <row r="135" ht="15" customHeight="1" s="4" customFormat="1">
      <c r="A135" s="9"/>
      <c r="B135" s="10"/>
      <c r="C135" s="11"/>
      <c r="D135" s="11"/>
      <c r="E135" s="9"/>
      <c r="F135" s="12"/>
      <c r="G135" s="12"/>
      <c r="H135" s="11"/>
      <c r="I135" s="11"/>
      <c r="J135" s="11"/>
      <c r="K135" s="11"/>
      <c r="L135" s="11"/>
      <c r="M135" s="11"/>
      <c r="N135" s="11"/>
      <c r="O135" s="11"/>
      <c r="P135" s="12"/>
      <c r="Q135" s="13"/>
      <c r="R135" s="13"/>
    </row>
    <row r="136" ht="15" customHeight="1" s="4" customFormat="1">
      <c r="A136" s="9"/>
      <c r="B136" s="10"/>
      <c r="C136" s="11"/>
      <c r="D136" s="11"/>
      <c r="E136" s="9"/>
      <c r="F136" s="12"/>
      <c r="G136" s="12"/>
      <c r="H136" s="11"/>
      <c r="I136" s="11"/>
      <c r="J136" s="11"/>
      <c r="K136" s="11"/>
      <c r="L136" s="11"/>
      <c r="M136" s="11"/>
      <c r="N136" s="11"/>
      <c r="O136" s="11"/>
      <c r="P136" s="12"/>
      <c r="Q136" s="13"/>
      <c r="R136" s="13"/>
    </row>
    <row r="137" ht="15" customHeight="1" s="4" customFormat="1">
      <c r="A137" s="9"/>
      <c r="B137" s="10"/>
      <c r="C137" s="11"/>
      <c r="D137" s="11"/>
      <c r="E137" s="9"/>
      <c r="F137" s="12"/>
      <c r="G137" s="12"/>
      <c r="H137" s="11"/>
      <c r="I137" s="11"/>
      <c r="J137" s="11"/>
      <c r="K137" s="11"/>
      <c r="L137" s="11"/>
      <c r="M137" s="11"/>
      <c r="N137" s="11"/>
      <c r="O137" s="11"/>
      <c r="P137" s="12"/>
      <c r="Q137" s="13"/>
      <c r="R137" s="13"/>
    </row>
    <row r="138" ht="15" customHeight="1" s="4" customFormat="1">
      <c r="A138" s="9"/>
      <c r="B138" s="10"/>
      <c r="C138" s="11"/>
      <c r="D138" s="11"/>
      <c r="E138" s="9"/>
      <c r="F138" s="12"/>
      <c r="G138" s="12"/>
      <c r="H138" s="11"/>
      <c r="I138" s="11"/>
      <c r="J138" s="11"/>
      <c r="K138" s="11"/>
      <c r="L138" s="11"/>
      <c r="M138" s="11"/>
      <c r="N138" s="11"/>
      <c r="O138" s="11"/>
      <c r="P138" s="12"/>
      <c r="Q138" s="13"/>
      <c r="R138" s="13"/>
    </row>
    <row r="139" ht="15" customHeight="1" s="4" customFormat="1">
      <c r="A139" s="9"/>
      <c r="B139" s="10"/>
      <c r="C139" s="11"/>
      <c r="D139" s="11"/>
      <c r="E139" s="9"/>
      <c r="F139" s="12"/>
      <c r="G139" s="12"/>
      <c r="H139" s="11"/>
      <c r="I139" s="11"/>
      <c r="J139" s="11"/>
      <c r="K139" s="11"/>
      <c r="L139" s="11"/>
      <c r="M139" s="11"/>
      <c r="N139" s="11"/>
      <c r="O139" s="11"/>
      <c r="P139" s="12"/>
      <c r="Q139" s="13"/>
      <c r="R139" s="13"/>
    </row>
    <row r="140" ht="15" customHeight="1" s="4" customFormat="1">
      <c r="A140" s="9"/>
      <c r="B140" s="10"/>
      <c r="C140" s="11"/>
      <c r="D140" s="11"/>
      <c r="E140" s="9"/>
      <c r="F140" s="12"/>
      <c r="G140" s="12"/>
      <c r="H140" s="11"/>
      <c r="I140" s="11"/>
      <c r="J140" s="11"/>
      <c r="K140" s="11"/>
      <c r="L140" s="11"/>
      <c r="M140" s="11"/>
      <c r="N140" s="11"/>
      <c r="O140" s="11"/>
      <c r="P140" s="12"/>
      <c r="Q140" s="13"/>
      <c r="R140" s="13"/>
    </row>
    <row r="141" ht="15" customHeight="1" s="4" customFormat="1">
      <c r="A141" s="9"/>
      <c r="B141" s="10"/>
      <c r="C141" s="11"/>
      <c r="D141" s="11"/>
      <c r="E141" s="9"/>
      <c r="F141" s="12"/>
      <c r="G141" s="12"/>
      <c r="H141" s="11"/>
      <c r="I141" s="11"/>
      <c r="J141" s="11"/>
      <c r="K141" s="11"/>
      <c r="L141" s="11"/>
      <c r="M141" s="11"/>
      <c r="N141" s="11"/>
      <c r="O141" s="11"/>
      <c r="P141" s="12"/>
      <c r="Q141" s="13"/>
      <c r="R141" s="13"/>
    </row>
    <row r="142" ht="15" customHeight="1" s="4" customFormat="1">
      <c r="A142" s="9"/>
      <c r="B142" s="10"/>
      <c r="C142" s="11"/>
      <c r="D142" s="11"/>
      <c r="E142" s="9"/>
      <c r="F142" s="12"/>
      <c r="G142" s="12"/>
      <c r="H142" s="11"/>
      <c r="I142" s="11"/>
      <c r="J142" s="11"/>
      <c r="K142" s="11"/>
      <c r="L142" s="11"/>
      <c r="M142" s="11"/>
      <c r="N142" s="11"/>
      <c r="O142" s="11"/>
      <c r="P142" s="12"/>
      <c r="Q142" s="13"/>
      <c r="R142" s="13"/>
    </row>
    <row r="143" ht="15" customHeight="1" s="4" customFormat="1">
      <c r="A143" s="9"/>
      <c r="B143" s="10"/>
      <c r="C143" s="11"/>
      <c r="D143" s="11"/>
      <c r="E143" s="9"/>
      <c r="F143" s="12"/>
      <c r="G143" s="12"/>
      <c r="H143" s="11"/>
      <c r="I143" s="11"/>
      <c r="J143" s="11"/>
      <c r="K143" s="11"/>
      <c r="L143" s="11"/>
      <c r="M143" s="11"/>
      <c r="N143" s="11"/>
      <c r="O143" s="11"/>
      <c r="P143" s="12"/>
      <c r="Q143" s="13"/>
      <c r="R143" s="13"/>
    </row>
    <row r="144" ht="15" customHeight="1" s="4" customFormat="1">
      <c r="A144" s="9"/>
      <c r="B144" s="10"/>
      <c r="C144" s="11"/>
      <c r="D144" s="11"/>
      <c r="E144" s="9"/>
      <c r="F144" s="12"/>
      <c r="G144" s="12"/>
      <c r="H144" s="11"/>
      <c r="I144" s="11"/>
      <c r="J144" s="11"/>
      <c r="K144" s="11"/>
      <c r="L144" s="11"/>
      <c r="M144" s="11"/>
      <c r="N144" s="11"/>
      <c r="O144" s="11"/>
      <c r="P144" s="12"/>
      <c r="Q144" s="13"/>
      <c r="R144" s="13"/>
    </row>
    <row r="145" ht="15" customHeight="1" s="4" customFormat="1">
      <c r="A145" s="9"/>
      <c r="B145" s="10"/>
      <c r="C145" s="11"/>
      <c r="D145" s="11"/>
      <c r="E145" s="9"/>
      <c r="F145" s="12"/>
      <c r="G145" s="12"/>
      <c r="H145" s="11"/>
      <c r="I145" s="11"/>
      <c r="J145" s="11"/>
      <c r="K145" s="11"/>
      <c r="L145" s="11"/>
      <c r="M145" s="11"/>
      <c r="N145" s="11"/>
      <c r="O145" s="11"/>
      <c r="P145" s="12"/>
      <c r="Q145" s="13"/>
      <c r="R145" s="13"/>
    </row>
    <row r="146" ht="15" customHeight="1" s="4" customFormat="1">
      <c r="A146" s="9"/>
      <c r="B146" s="10"/>
      <c r="C146" s="11"/>
      <c r="D146" s="11"/>
      <c r="E146" s="9"/>
      <c r="F146" s="12"/>
      <c r="G146" s="12"/>
      <c r="H146" s="11"/>
      <c r="I146" s="11"/>
      <c r="J146" s="11"/>
      <c r="K146" s="11"/>
      <c r="L146" s="11"/>
      <c r="M146" s="11"/>
      <c r="N146" s="11"/>
      <c r="O146" s="11"/>
      <c r="P146" s="12"/>
      <c r="Q146" s="13"/>
      <c r="R146" s="13"/>
    </row>
    <row r="147" ht="15" customHeight="1" s="4" customFormat="1">
      <c r="A147" s="9"/>
      <c r="B147" s="10"/>
      <c r="C147" s="11"/>
      <c r="D147" s="11"/>
      <c r="E147" s="9"/>
      <c r="F147" s="12"/>
      <c r="G147" s="12"/>
      <c r="H147" s="11"/>
      <c r="I147" s="11"/>
      <c r="J147" s="11"/>
      <c r="K147" s="11"/>
      <c r="L147" s="11"/>
      <c r="M147" s="11"/>
      <c r="N147" s="11"/>
      <c r="O147" s="11"/>
      <c r="P147" s="12"/>
      <c r="Q147" s="13"/>
      <c r="R147" s="13"/>
    </row>
    <row r="148" ht="15" customHeight="1" s="4" customFormat="1">
      <c r="A148" s="9"/>
      <c r="B148" s="10"/>
      <c r="C148" s="11"/>
      <c r="D148" s="11"/>
      <c r="E148" s="9"/>
      <c r="F148" s="12"/>
      <c r="G148" s="12"/>
      <c r="H148" s="11"/>
      <c r="I148" s="11"/>
      <c r="J148" s="11"/>
      <c r="K148" s="11"/>
      <c r="L148" s="11"/>
      <c r="M148" s="11"/>
      <c r="N148" s="11"/>
      <c r="O148" s="11"/>
      <c r="P148" s="12"/>
      <c r="Q148" s="13"/>
      <c r="R148" s="13"/>
    </row>
    <row r="149" ht="15" customHeight="1" s="4" customFormat="1">
      <c r="A149" s="9"/>
      <c r="B149" s="10"/>
      <c r="C149" s="11"/>
      <c r="D149" s="11"/>
      <c r="E149" s="9"/>
      <c r="F149" s="12"/>
      <c r="G149" s="12"/>
      <c r="H149" s="11"/>
      <c r="I149" s="11"/>
      <c r="J149" s="11"/>
      <c r="K149" s="11"/>
      <c r="L149" s="11"/>
      <c r="M149" s="11"/>
      <c r="N149" s="11"/>
      <c r="O149" s="11"/>
      <c r="P149" s="12"/>
      <c r="Q149" s="13"/>
      <c r="R149" s="13"/>
    </row>
    <row r="150" ht="15" customHeight="1" s="4" customFormat="1">
      <c r="A150" s="9"/>
      <c r="B150" s="10"/>
      <c r="C150" s="11"/>
      <c r="D150" s="11"/>
      <c r="E150" s="9"/>
      <c r="F150" s="12"/>
      <c r="G150" s="12"/>
      <c r="H150" s="11"/>
      <c r="I150" s="11"/>
      <c r="J150" s="11"/>
      <c r="K150" s="11"/>
      <c r="L150" s="11"/>
      <c r="M150" s="11"/>
      <c r="N150" s="11"/>
      <c r="O150" s="11"/>
      <c r="P150" s="12"/>
      <c r="Q150" s="13"/>
      <c r="R150" s="13"/>
    </row>
    <row r="151" ht="15" customHeight="1" s="4" customFormat="1">
      <c r="A151" s="9"/>
      <c r="B151" s="10"/>
      <c r="C151" s="11"/>
      <c r="D151" s="11"/>
      <c r="E151" s="9"/>
      <c r="F151" s="12"/>
      <c r="G151" s="12"/>
      <c r="H151" s="11"/>
      <c r="I151" s="11"/>
      <c r="J151" s="11"/>
      <c r="K151" s="11"/>
      <c r="L151" s="11"/>
      <c r="M151" s="11"/>
      <c r="N151" s="11"/>
      <c r="O151" s="11"/>
      <c r="P151" s="12"/>
      <c r="Q151" s="13"/>
      <c r="R151" s="13"/>
    </row>
    <row r="152" ht="15" customHeight="1" s="4" customFormat="1">
      <c r="A152" s="9"/>
      <c r="B152" s="10"/>
      <c r="C152" s="11"/>
      <c r="D152" s="11"/>
      <c r="E152" s="9"/>
      <c r="F152" s="12"/>
      <c r="G152" s="12"/>
      <c r="H152" s="11"/>
      <c r="I152" s="11"/>
      <c r="J152" s="11"/>
      <c r="K152" s="11"/>
      <c r="L152" s="11"/>
      <c r="M152" s="11"/>
      <c r="N152" s="11"/>
      <c r="O152" s="11"/>
      <c r="P152" s="12"/>
      <c r="Q152" s="13"/>
      <c r="R152" s="13"/>
    </row>
    <row r="153" ht="15" customHeight="1" s="4" customFormat="1">
      <c r="A153" s="9"/>
      <c r="B153" s="10"/>
      <c r="C153" s="11"/>
      <c r="D153" s="11"/>
      <c r="E153" s="9"/>
      <c r="F153" s="12"/>
      <c r="G153" s="12"/>
      <c r="H153" s="11"/>
      <c r="I153" s="11"/>
      <c r="J153" s="11"/>
      <c r="K153" s="11"/>
      <c r="L153" s="11"/>
      <c r="M153" s="11"/>
      <c r="N153" s="11"/>
      <c r="O153" s="11"/>
      <c r="P153" s="12"/>
      <c r="Q153" s="13"/>
      <c r="R153" s="13"/>
    </row>
    <row r="154" ht="15" customHeight="1" s="4" customFormat="1">
      <c r="A154" s="9"/>
      <c r="B154" s="10"/>
      <c r="C154" s="11"/>
      <c r="D154" s="11"/>
      <c r="E154" s="9"/>
      <c r="F154" s="12"/>
      <c r="G154" s="12"/>
      <c r="H154" s="11"/>
      <c r="I154" s="11"/>
      <c r="J154" s="11"/>
      <c r="K154" s="11"/>
      <c r="L154" s="11"/>
      <c r="M154" s="11"/>
      <c r="N154" s="11"/>
      <c r="O154" s="11"/>
      <c r="P154" s="12"/>
      <c r="Q154" s="13"/>
      <c r="R154" s="13"/>
    </row>
    <row r="155" ht="15" customHeight="1" s="4" customFormat="1">
      <c r="A155" s="9"/>
      <c r="B155" s="10"/>
      <c r="C155" s="11"/>
      <c r="D155" s="11"/>
      <c r="E155" s="9"/>
      <c r="F155" s="12"/>
      <c r="G155" s="12"/>
      <c r="H155" s="11"/>
      <c r="I155" s="11"/>
      <c r="J155" s="11"/>
      <c r="K155" s="11"/>
      <c r="L155" s="11"/>
      <c r="M155" s="11"/>
      <c r="N155" s="11"/>
      <c r="O155" s="11"/>
      <c r="P155" s="12"/>
      <c r="Q155" s="13"/>
      <c r="R155" s="13"/>
    </row>
    <row r="156" ht="15" customHeight="1" s="4" customFormat="1">
      <c r="A156" s="9"/>
      <c r="B156" s="10"/>
      <c r="C156" s="11"/>
      <c r="D156" s="11"/>
      <c r="E156" s="9"/>
      <c r="F156" s="12"/>
      <c r="G156" s="12"/>
      <c r="H156" s="11"/>
      <c r="I156" s="11"/>
      <c r="J156" s="11"/>
      <c r="K156" s="11"/>
      <c r="L156" s="11"/>
      <c r="M156" s="11"/>
      <c r="N156" s="11"/>
      <c r="O156" s="11"/>
      <c r="P156" s="12"/>
      <c r="Q156" s="13"/>
      <c r="R156" s="13"/>
    </row>
    <row r="157" ht="15" customHeight="1" s="4" customFormat="1">
      <c r="A157" s="9"/>
      <c r="B157" s="10"/>
      <c r="C157" s="11"/>
      <c r="D157" s="11"/>
      <c r="E157" s="9"/>
      <c r="F157" s="12"/>
      <c r="G157" s="12"/>
      <c r="H157" s="11"/>
      <c r="I157" s="11"/>
      <c r="J157" s="11"/>
      <c r="K157" s="11"/>
      <c r="L157" s="11"/>
      <c r="M157" s="11"/>
      <c r="N157" s="11"/>
      <c r="O157" s="11"/>
      <c r="P157" s="12"/>
      <c r="Q157" s="13"/>
      <c r="R157" s="13"/>
    </row>
    <row r="158" ht="15" customHeight="1" s="4" customFormat="1">
      <c r="A158" s="9"/>
      <c r="B158" s="10"/>
      <c r="C158" s="11"/>
      <c r="D158" s="11"/>
      <c r="E158" s="9"/>
      <c r="F158" s="12"/>
      <c r="G158" s="12"/>
      <c r="H158" s="11"/>
      <c r="I158" s="11"/>
      <c r="J158" s="11"/>
      <c r="K158" s="11"/>
      <c r="L158" s="11"/>
      <c r="M158" s="11"/>
      <c r="N158" s="11"/>
      <c r="O158" s="11"/>
      <c r="P158" s="12"/>
      <c r="Q158" s="13"/>
      <c r="R158" s="13"/>
    </row>
    <row r="159" ht="15" customHeight="1" s="4" customFormat="1">
      <c r="A159" s="9"/>
      <c r="B159" s="10"/>
      <c r="C159" s="11"/>
      <c r="D159" s="11"/>
      <c r="E159" s="9"/>
      <c r="F159" s="12"/>
      <c r="G159" s="12"/>
      <c r="H159" s="11"/>
      <c r="I159" s="11"/>
      <c r="J159" s="11"/>
      <c r="K159" s="11"/>
      <c r="L159" s="11"/>
      <c r="M159" s="11"/>
      <c r="N159" s="11"/>
      <c r="O159" s="11"/>
      <c r="P159" s="12"/>
      <c r="Q159" s="13"/>
      <c r="R159" s="13"/>
    </row>
    <row r="160" ht="15" customHeight="1" s="4" customFormat="1">
      <c r="A160" s="9"/>
      <c r="B160" s="10"/>
      <c r="C160" s="11"/>
      <c r="D160" s="11"/>
      <c r="E160" s="9"/>
      <c r="F160" s="12"/>
      <c r="G160" s="12"/>
      <c r="H160" s="11"/>
      <c r="I160" s="11"/>
      <c r="J160" s="11"/>
      <c r="K160" s="11"/>
      <c r="L160" s="11"/>
      <c r="M160" s="11"/>
      <c r="N160" s="11"/>
      <c r="O160" s="11"/>
      <c r="P160" s="12"/>
      <c r="Q160" s="13"/>
      <c r="R160" s="13"/>
    </row>
    <row r="161" ht="15" customHeight="1" s="4" customFormat="1">
      <c r="A161" s="9"/>
      <c r="B161" s="10"/>
      <c r="C161" s="11"/>
      <c r="D161" s="11"/>
      <c r="E161" s="9"/>
      <c r="F161" s="12"/>
      <c r="G161" s="12"/>
      <c r="H161" s="11"/>
      <c r="I161" s="11"/>
      <c r="J161" s="11"/>
      <c r="K161" s="11"/>
      <c r="L161" s="11"/>
      <c r="M161" s="11"/>
      <c r="N161" s="11"/>
      <c r="O161" s="11"/>
      <c r="P161" s="12"/>
      <c r="Q161" s="13"/>
      <c r="R161" s="13"/>
    </row>
    <row r="162" ht="15" customHeight="1" s="4" customFormat="1">
      <c r="A162" s="9"/>
      <c r="B162" s="10"/>
      <c r="C162" s="11"/>
      <c r="D162" s="11"/>
      <c r="E162" s="9"/>
      <c r="F162" s="12"/>
      <c r="G162" s="12"/>
      <c r="H162" s="11"/>
      <c r="I162" s="11"/>
      <c r="J162" s="11"/>
      <c r="K162" s="11"/>
      <c r="L162" s="11"/>
      <c r="M162" s="11"/>
      <c r="N162" s="11"/>
      <c r="O162" s="11"/>
      <c r="P162" s="12"/>
      <c r="Q162" s="13"/>
      <c r="R162" s="13"/>
    </row>
    <row r="163" ht="15" customHeight="1" s="4" customFormat="1">
      <c r="A163" s="9"/>
      <c r="B163" s="10"/>
      <c r="C163" s="11"/>
      <c r="D163" s="11"/>
      <c r="E163" s="9"/>
      <c r="F163" s="12"/>
      <c r="G163" s="12"/>
      <c r="H163" s="11"/>
      <c r="I163" s="11"/>
      <c r="J163" s="11"/>
      <c r="K163" s="11"/>
      <c r="L163" s="11"/>
      <c r="M163" s="11"/>
      <c r="N163" s="11"/>
      <c r="O163" s="11"/>
      <c r="P163" s="12"/>
      <c r="Q163" s="13"/>
      <c r="R163" s="13"/>
    </row>
    <row r="164" ht="15" customHeight="1" s="4" customFormat="1">
      <c r="A164" s="9"/>
      <c r="B164" s="10"/>
      <c r="C164" s="11"/>
      <c r="D164" s="11"/>
      <c r="E164" s="9"/>
      <c r="F164" s="12"/>
      <c r="G164" s="12"/>
      <c r="H164" s="11"/>
      <c r="I164" s="11"/>
      <c r="J164" s="11"/>
      <c r="K164" s="11"/>
      <c r="L164" s="11"/>
      <c r="M164" s="11"/>
      <c r="N164" s="11"/>
      <c r="O164" s="11"/>
      <c r="P164" s="12"/>
      <c r="Q164" s="13"/>
      <c r="R164" s="13"/>
    </row>
    <row r="165" ht="15" customHeight="1" s="4" customFormat="1">
      <c r="A165" s="9"/>
      <c r="B165" s="10"/>
      <c r="C165" s="11"/>
      <c r="D165" s="11"/>
      <c r="E165" s="9"/>
      <c r="F165" s="12"/>
      <c r="G165" s="12"/>
      <c r="H165" s="11"/>
      <c r="I165" s="11"/>
      <c r="J165" s="11"/>
      <c r="K165" s="11"/>
      <c r="L165" s="11"/>
      <c r="M165" s="11"/>
      <c r="N165" s="11"/>
      <c r="O165" s="11"/>
      <c r="P165" s="12"/>
      <c r="Q165" s="13"/>
      <c r="R165" s="13"/>
    </row>
    <row r="166" ht="15" customHeight="1" s="4" customFormat="1">
      <c r="A166" s="9"/>
      <c r="B166" s="10"/>
      <c r="C166" s="11"/>
      <c r="D166" s="11"/>
      <c r="E166" s="9"/>
      <c r="F166" s="12"/>
      <c r="G166" s="12"/>
      <c r="H166" s="11"/>
      <c r="I166" s="11"/>
      <c r="J166" s="11"/>
      <c r="K166" s="11"/>
      <c r="L166" s="11"/>
      <c r="M166" s="11"/>
      <c r="N166" s="11"/>
      <c r="O166" s="11"/>
      <c r="P166" s="12"/>
      <c r="Q166" s="13"/>
      <c r="R166" s="13"/>
    </row>
    <row r="167" ht="15" customHeight="1" s="4" customFormat="1">
      <c r="A167" s="9"/>
      <c r="B167" s="10"/>
      <c r="C167" s="11"/>
      <c r="D167" s="11"/>
      <c r="E167" s="9"/>
      <c r="F167" s="12"/>
      <c r="G167" s="12"/>
      <c r="H167" s="11"/>
      <c r="I167" s="11"/>
      <c r="J167" s="11"/>
      <c r="K167" s="11"/>
      <c r="L167" s="11"/>
      <c r="M167" s="11"/>
      <c r="N167" s="11"/>
      <c r="O167" s="11"/>
      <c r="P167" s="12"/>
      <c r="Q167" s="13"/>
      <c r="R167" s="13"/>
    </row>
    <row r="168" ht="15" customHeight="1" s="4" customFormat="1">
      <c r="A168" s="9"/>
      <c r="B168" s="10"/>
      <c r="C168" s="11"/>
      <c r="D168" s="11"/>
      <c r="E168" s="9"/>
      <c r="F168" s="12"/>
      <c r="G168" s="12"/>
      <c r="H168" s="11"/>
      <c r="I168" s="11"/>
      <c r="J168" s="11"/>
      <c r="K168" s="11"/>
      <c r="L168" s="11"/>
      <c r="M168" s="11"/>
      <c r="N168" s="11"/>
      <c r="O168" s="11"/>
      <c r="P168" s="12"/>
      <c r="Q168" s="13"/>
      <c r="R168" s="13"/>
    </row>
    <row r="169" ht="15" customHeight="1" s="4" customFormat="1">
      <c r="A169" s="9"/>
      <c r="B169" s="10"/>
      <c r="C169" s="11"/>
      <c r="D169" s="11"/>
      <c r="E169" s="9"/>
      <c r="F169" s="12"/>
      <c r="G169" s="12"/>
      <c r="H169" s="11"/>
      <c r="I169" s="11"/>
      <c r="J169" s="11"/>
      <c r="K169" s="11"/>
      <c r="L169" s="11"/>
      <c r="M169" s="11"/>
      <c r="N169" s="11"/>
      <c r="O169" s="11"/>
      <c r="P169" s="12"/>
      <c r="Q169" s="13"/>
      <c r="R169" s="13"/>
    </row>
    <row r="170" ht="15" customHeight="1" s="4" customFormat="1">
      <c r="A170" s="9"/>
      <c r="B170" s="10"/>
      <c r="C170" s="11"/>
      <c r="D170" s="11"/>
      <c r="E170" s="9"/>
      <c r="F170" s="12"/>
      <c r="G170" s="12"/>
      <c r="H170" s="11"/>
      <c r="I170" s="11"/>
      <c r="J170" s="11"/>
      <c r="K170" s="11"/>
      <c r="L170" s="11"/>
      <c r="M170" s="11"/>
      <c r="N170" s="11"/>
      <c r="O170" s="11"/>
      <c r="P170" s="12"/>
      <c r="Q170" s="13"/>
      <c r="R170" s="13"/>
    </row>
    <row r="171" ht="15" customHeight="1" s="4" customFormat="1">
      <c r="A171" s="9"/>
      <c r="B171" s="10"/>
      <c r="C171" s="11"/>
      <c r="D171" s="11"/>
      <c r="E171" s="9"/>
      <c r="F171" s="12"/>
      <c r="G171" s="12"/>
      <c r="H171" s="11"/>
      <c r="I171" s="11"/>
      <c r="J171" s="11"/>
      <c r="K171" s="11"/>
      <c r="L171" s="11"/>
      <c r="M171" s="11"/>
      <c r="N171" s="11"/>
      <c r="O171" s="11"/>
      <c r="P171" s="12"/>
      <c r="Q171" s="13"/>
      <c r="R171" s="13"/>
    </row>
    <row r="172" ht="15" customHeight="1" s="4" customFormat="1">
      <c r="A172" s="9"/>
      <c r="B172" s="10"/>
      <c r="C172" s="11"/>
      <c r="D172" s="11"/>
      <c r="E172" s="9"/>
      <c r="F172" s="12"/>
      <c r="G172" s="12"/>
      <c r="H172" s="11"/>
      <c r="I172" s="11"/>
      <c r="J172" s="11"/>
      <c r="K172" s="11"/>
      <c r="L172" s="11"/>
      <c r="M172" s="11"/>
      <c r="N172" s="11"/>
      <c r="O172" s="11"/>
      <c r="P172" s="12"/>
      <c r="Q172" s="13"/>
      <c r="R172" s="13"/>
    </row>
    <row r="173" ht="15" customHeight="1" s="4" customFormat="1">
      <c r="A173" s="9"/>
      <c r="B173" s="10"/>
      <c r="C173" s="11"/>
      <c r="D173" s="11"/>
      <c r="E173" s="9"/>
      <c r="F173" s="12"/>
      <c r="G173" s="12"/>
      <c r="H173" s="11"/>
      <c r="I173" s="11"/>
      <c r="J173" s="11"/>
      <c r="K173" s="11"/>
      <c r="L173" s="11"/>
      <c r="M173" s="11"/>
      <c r="N173" s="11"/>
      <c r="O173" s="11"/>
      <c r="P173" s="12"/>
      <c r="Q173" s="13"/>
      <c r="R173" s="13"/>
    </row>
    <row r="174" ht="15" customHeight="1" s="4" customFormat="1">
      <c r="A174" s="9"/>
      <c r="B174" s="10"/>
      <c r="C174" s="11"/>
      <c r="D174" s="11"/>
      <c r="E174" s="9"/>
      <c r="F174" s="12"/>
      <c r="G174" s="12"/>
      <c r="H174" s="11"/>
      <c r="I174" s="11"/>
      <c r="J174" s="11"/>
      <c r="K174" s="11"/>
      <c r="L174" s="11"/>
      <c r="M174" s="11"/>
      <c r="N174" s="11"/>
      <c r="O174" s="11"/>
      <c r="P174" s="12"/>
      <c r="Q174" s="13"/>
      <c r="R174" s="13"/>
    </row>
    <row r="175" ht="15" customHeight="1" s="4" customFormat="1">
      <c r="A175" s="9"/>
      <c r="B175" s="10"/>
      <c r="C175" s="11"/>
      <c r="D175" s="11"/>
      <c r="E175" s="9"/>
      <c r="F175" s="12"/>
      <c r="G175" s="12"/>
      <c r="H175" s="11"/>
      <c r="I175" s="11"/>
      <c r="J175" s="11"/>
      <c r="K175" s="11"/>
      <c r="L175" s="11"/>
      <c r="M175" s="11"/>
      <c r="N175" s="11"/>
      <c r="O175" s="11"/>
      <c r="P175" s="12"/>
      <c r="Q175" s="13"/>
      <c r="R175" s="13"/>
    </row>
    <row r="176" ht="15" customHeight="1" s="4" customFormat="1">
      <c r="A176" s="9"/>
      <c r="B176" s="10"/>
      <c r="C176" s="11"/>
      <c r="D176" s="11"/>
      <c r="E176" s="9"/>
      <c r="F176" s="12"/>
      <c r="G176" s="12"/>
      <c r="H176" s="11"/>
      <c r="I176" s="11"/>
      <c r="J176" s="11"/>
      <c r="K176" s="11"/>
      <c r="L176" s="11"/>
      <c r="M176" s="11"/>
      <c r="N176" s="11"/>
      <c r="O176" s="11"/>
      <c r="P176" s="12"/>
      <c r="Q176" s="13"/>
      <c r="R176" s="13"/>
    </row>
    <row r="177" ht="15" customHeight="1" s="4" customFormat="1">
      <c r="A177" s="9"/>
      <c r="B177" s="10"/>
      <c r="C177" s="11"/>
      <c r="D177" s="11"/>
      <c r="E177" s="9"/>
      <c r="F177" s="12"/>
      <c r="G177" s="12"/>
      <c r="H177" s="11"/>
      <c r="I177" s="11"/>
      <c r="J177" s="11"/>
      <c r="K177" s="11"/>
      <c r="L177" s="11"/>
      <c r="M177" s="11"/>
      <c r="N177" s="11"/>
      <c r="O177" s="11"/>
      <c r="P177" s="12"/>
      <c r="Q177" s="13"/>
      <c r="R177" s="13"/>
    </row>
    <row r="178" ht="15" customHeight="1" s="4" customFormat="1">
      <c r="A178" s="9"/>
      <c r="B178" s="10"/>
      <c r="C178" s="11"/>
      <c r="D178" s="11"/>
      <c r="E178" s="9"/>
      <c r="F178" s="12"/>
      <c r="G178" s="12"/>
      <c r="H178" s="11"/>
      <c r="I178" s="11"/>
      <c r="J178" s="11"/>
      <c r="K178" s="11"/>
      <c r="L178" s="11"/>
      <c r="M178" s="11"/>
      <c r="N178" s="11"/>
      <c r="O178" s="11"/>
      <c r="P178" s="12"/>
      <c r="Q178" s="13"/>
      <c r="R178" s="13"/>
    </row>
    <row r="179" ht="15" customHeight="1" s="4" customFormat="1">
      <c r="A179" s="9"/>
      <c r="B179" s="10"/>
      <c r="C179" s="11"/>
      <c r="D179" s="11"/>
      <c r="E179" s="9"/>
      <c r="F179" s="12"/>
      <c r="G179" s="12"/>
      <c r="H179" s="11"/>
      <c r="I179" s="11"/>
      <c r="J179" s="11"/>
      <c r="K179" s="11"/>
      <c r="L179" s="11"/>
      <c r="M179" s="11"/>
      <c r="N179" s="11"/>
      <c r="O179" s="11"/>
      <c r="P179" s="12"/>
      <c r="Q179" s="13"/>
      <c r="R179" s="13"/>
    </row>
    <row r="180" ht="15" customHeight="1" s="4" customFormat="1">
      <c r="A180" s="9"/>
      <c r="B180" s="10"/>
      <c r="C180" s="11"/>
      <c r="D180" s="11"/>
      <c r="E180" s="9"/>
      <c r="F180" s="12"/>
      <c r="G180" s="12"/>
      <c r="H180" s="11"/>
      <c r="I180" s="11"/>
      <c r="J180" s="11"/>
      <c r="K180" s="11"/>
      <c r="L180" s="11"/>
      <c r="M180" s="11"/>
      <c r="N180" s="11"/>
      <c r="O180" s="11"/>
      <c r="P180" s="12"/>
      <c r="Q180" s="13"/>
      <c r="R180" s="13"/>
    </row>
    <row r="181" ht="15" customHeight="1" s="4" customFormat="1">
      <c r="A181" s="9"/>
      <c r="B181" s="10"/>
      <c r="C181" s="11"/>
      <c r="D181" s="11"/>
      <c r="E181" s="9"/>
      <c r="F181" s="12"/>
      <c r="G181" s="12"/>
      <c r="H181" s="11"/>
      <c r="I181" s="11"/>
      <c r="J181" s="11"/>
      <c r="K181" s="11"/>
      <c r="L181" s="11"/>
      <c r="M181" s="11"/>
      <c r="N181" s="11"/>
      <c r="O181" s="11"/>
      <c r="P181" s="12"/>
      <c r="Q181" s="13"/>
      <c r="R181" s="13"/>
    </row>
    <row r="182" ht="15" customHeight="1" s="4" customFormat="1">
      <c r="A182" s="9"/>
      <c r="B182" s="10"/>
      <c r="C182" s="11"/>
      <c r="D182" s="11"/>
      <c r="E182" s="9"/>
      <c r="F182" s="12"/>
      <c r="G182" s="12"/>
      <c r="H182" s="11"/>
      <c r="I182" s="11"/>
      <c r="J182" s="11"/>
      <c r="K182" s="11"/>
      <c r="L182" s="11"/>
      <c r="M182" s="11"/>
      <c r="N182" s="11"/>
      <c r="O182" s="11"/>
      <c r="P182" s="12"/>
      <c r="Q182" s="13"/>
      <c r="R182" s="13"/>
    </row>
    <row r="183" ht="15" customHeight="1" s="4" customFormat="1">
      <c r="A183" s="9"/>
      <c r="B183" s="10"/>
      <c r="C183" s="11"/>
      <c r="D183" s="11"/>
      <c r="E183" s="9"/>
      <c r="F183" s="12"/>
      <c r="G183" s="12"/>
      <c r="H183" s="11"/>
      <c r="I183" s="11"/>
      <c r="J183" s="11"/>
      <c r="K183" s="11"/>
      <c r="L183" s="11"/>
      <c r="M183" s="11"/>
      <c r="N183" s="11"/>
      <c r="O183" s="11"/>
      <c r="P183" s="12"/>
      <c r="Q183" s="13"/>
      <c r="R183" s="13"/>
    </row>
    <row r="184" ht="15" customHeight="1" s="4" customFormat="1">
      <c r="A184" s="9"/>
      <c r="B184" s="10"/>
      <c r="C184" s="11"/>
      <c r="D184" s="11"/>
      <c r="E184" s="9"/>
      <c r="F184" s="12"/>
      <c r="G184" s="12"/>
      <c r="H184" s="11"/>
      <c r="I184" s="11"/>
      <c r="J184" s="11"/>
      <c r="K184" s="11"/>
      <c r="L184" s="11"/>
      <c r="M184" s="11"/>
      <c r="N184" s="11"/>
      <c r="O184" s="11"/>
      <c r="P184" s="12"/>
      <c r="Q184" s="13"/>
      <c r="R184" s="13"/>
    </row>
    <row r="185" ht="15" customHeight="1" s="4" customFormat="1">
      <c r="A185" s="9"/>
      <c r="B185" s="10"/>
      <c r="C185" s="11"/>
      <c r="D185" s="11"/>
      <c r="E185" s="9"/>
      <c r="F185" s="12"/>
      <c r="G185" s="12"/>
      <c r="H185" s="11"/>
      <c r="I185" s="11"/>
      <c r="J185" s="11"/>
      <c r="K185" s="11"/>
      <c r="L185" s="11"/>
      <c r="M185" s="11"/>
      <c r="N185" s="11"/>
      <c r="O185" s="11"/>
      <c r="P185" s="12"/>
      <c r="Q185" s="13"/>
      <c r="R185" s="13"/>
    </row>
    <row r="186" ht="15" customHeight="1" s="4" customFormat="1">
      <c r="A186" s="9"/>
      <c r="B186" s="10"/>
      <c r="C186" s="11"/>
      <c r="D186" s="11"/>
      <c r="E186" s="9"/>
      <c r="F186" s="12"/>
      <c r="G186" s="12"/>
      <c r="H186" s="11"/>
      <c r="I186" s="11"/>
      <c r="J186" s="11"/>
      <c r="K186" s="11"/>
      <c r="L186" s="11"/>
      <c r="M186" s="11"/>
      <c r="N186" s="11"/>
      <c r="O186" s="11"/>
      <c r="P186" s="12"/>
      <c r="Q186" s="13"/>
      <c r="R186" s="13"/>
    </row>
    <row r="187" ht="15" customHeight="1" s="4" customFormat="1">
      <c r="A187" s="9"/>
      <c r="B187" s="10"/>
      <c r="C187" s="11"/>
      <c r="D187" s="11"/>
      <c r="E187" s="9"/>
      <c r="F187" s="12"/>
      <c r="G187" s="12"/>
      <c r="H187" s="11"/>
      <c r="I187" s="11"/>
      <c r="J187" s="11"/>
      <c r="K187" s="11"/>
      <c r="L187" s="11"/>
      <c r="M187" s="11"/>
      <c r="N187" s="11"/>
      <c r="O187" s="11"/>
      <c r="P187" s="12"/>
      <c r="Q187" s="13"/>
      <c r="R187" s="13"/>
    </row>
    <row r="188" ht="15" customHeight="1" s="4" customFormat="1">
      <c r="A188" s="9"/>
      <c r="B188" s="10"/>
      <c r="C188" s="11"/>
      <c r="D188" s="11"/>
      <c r="E188" s="9"/>
      <c r="F188" s="12"/>
      <c r="G188" s="12"/>
      <c r="H188" s="11"/>
      <c r="I188" s="11"/>
      <c r="J188" s="11"/>
      <c r="K188" s="11"/>
      <c r="L188" s="11"/>
      <c r="M188" s="11"/>
      <c r="N188" s="11"/>
      <c r="O188" s="11"/>
      <c r="P188" s="12"/>
      <c r="Q188" s="13"/>
      <c r="R188" s="13"/>
    </row>
    <row r="189" ht="15" customHeight="1" s="4" customFormat="1">
      <c r="A189" s="9"/>
      <c r="B189" s="10"/>
      <c r="C189" s="11"/>
      <c r="D189" s="11"/>
      <c r="E189" s="9"/>
      <c r="F189" s="12"/>
      <c r="G189" s="12"/>
      <c r="H189" s="11"/>
      <c r="I189" s="11"/>
      <c r="J189" s="11"/>
      <c r="K189" s="11"/>
      <c r="L189" s="11"/>
      <c r="M189" s="11"/>
      <c r="N189" s="11"/>
      <c r="O189" s="11"/>
      <c r="P189" s="12"/>
      <c r="Q189" s="13"/>
      <c r="R189" s="13"/>
    </row>
    <row r="190" ht="15" customHeight="1" s="4" customFormat="1">
      <c r="A190" s="9"/>
      <c r="B190" s="10"/>
      <c r="C190" s="11"/>
      <c r="D190" s="11"/>
      <c r="E190" s="9"/>
      <c r="F190" s="12"/>
      <c r="G190" s="12"/>
      <c r="H190" s="11"/>
      <c r="I190" s="11"/>
      <c r="J190" s="11"/>
      <c r="K190" s="11"/>
      <c r="L190" s="11"/>
      <c r="M190" s="11"/>
      <c r="N190" s="11"/>
      <c r="O190" s="11"/>
      <c r="P190" s="12"/>
      <c r="Q190" s="13"/>
      <c r="R190" s="13"/>
    </row>
    <row r="191" ht="15" customHeight="1" s="4" customFormat="1">
      <c r="A191" s="9"/>
      <c r="B191" s="10"/>
      <c r="C191" s="11"/>
      <c r="D191" s="11"/>
      <c r="E191" s="9"/>
      <c r="F191" s="12"/>
      <c r="G191" s="12"/>
      <c r="H191" s="11"/>
      <c r="I191" s="11"/>
      <c r="J191" s="11"/>
      <c r="K191" s="11"/>
      <c r="L191" s="11"/>
      <c r="M191" s="11"/>
      <c r="N191" s="11"/>
      <c r="O191" s="11"/>
      <c r="P191" s="12"/>
      <c r="Q191" s="13"/>
      <c r="R191" s="13"/>
    </row>
    <row r="192" ht="15" customHeight="1" s="4" customFormat="1">
      <c r="A192" s="9"/>
      <c r="B192" s="10"/>
      <c r="C192" s="11"/>
      <c r="D192" s="11"/>
      <c r="E192" s="9"/>
      <c r="F192" s="12"/>
      <c r="G192" s="12"/>
      <c r="H192" s="11"/>
      <c r="I192" s="11"/>
      <c r="J192" s="11"/>
      <c r="K192" s="11"/>
      <c r="L192" s="11"/>
      <c r="M192" s="11"/>
      <c r="N192" s="11"/>
      <c r="O192" s="11"/>
      <c r="P192" s="12"/>
      <c r="Q192" s="13"/>
      <c r="R192" s="13"/>
    </row>
    <row r="193" ht="15" customHeight="1" s="4" customFormat="1">
      <c r="A193" s="9"/>
      <c r="B193" s="10"/>
      <c r="C193" s="11"/>
      <c r="D193" s="11"/>
      <c r="E193" s="9"/>
      <c r="F193" s="12"/>
      <c r="G193" s="12"/>
      <c r="H193" s="11"/>
      <c r="I193" s="11"/>
      <c r="J193" s="11"/>
      <c r="K193" s="11"/>
      <c r="L193" s="11"/>
      <c r="M193" s="11"/>
      <c r="N193" s="11"/>
      <c r="O193" s="11"/>
      <c r="P193" s="12"/>
      <c r="Q193" s="13"/>
      <c r="R193" s="13"/>
    </row>
    <row r="194" ht="15" customHeight="1" s="4" customFormat="1">
      <c r="A194" s="9"/>
      <c r="B194" s="10"/>
      <c r="C194" s="11"/>
      <c r="D194" s="11"/>
      <c r="E194" s="9"/>
      <c r="F194" s="12"/>
      <c r="G194" s="12"/>
      <c r="H194" s="11"/>
      <c r="I194" s="11"/>
      <c r="J194" s="11"/>
      <c r="K194" s="11"/>
      <c r="L194" s="11"/>
      <c r="M194" s="11"/>
      <c r="N194" s="11"/>
      <c r="O194" s="11"/>
      <c r="P194" s="12"/>
      <c r="Q194" s="13"/>
      <c r="R194" s="13"/>
    </row>
    <row r="195" ht="15" customHeight="1" s="4" customFormat="1">
      <c r="A195" s="9"/>
      <c r="B195" s="10"/>
      <c r="C195" s="11"/>
      <c r="D195" s="11"/>
      <c r="E195" s="9"/>
      <c r="F195" s="12"/>
      <c r="G195" s="12"/>
      <c r="H195" s="11"/>
      <c r="I195" s="11"/>
      <c r="J195" s="11"/>
      <c r="K195" s="11"/>
      <c r="L195" s="11"/>
      <c r="M195" s="11"/>
      <c r="N195" s="11"/>
      <c r="O195" s="11"/>
      <c r="P195" s="12"/>
      <c r="Q195" s="13"/>
      <c r="R195" s="13"/>
    </row>
    <row r="196" ht="15" customHeight="1" s="4" customFormat="1">
      <c r="A196" s="9"/>
      <c r="B196" s="10"/>
      <c r="C196" s="11"/>
      <c r="D196" s="11"/>
      <c r="E196" s="9"/>
      <c r="F196" s="12"/>
      <c r="G196" s="12"/>
      <c r="H196" s="11"/>
      <c r="I196" s="11"/>
      <c r="J196" s="11"/>
      <c r="K196" s="11"/>
      <c r="L196" s="11"/>
      <c r="M196" s="11"/>
      <c r="N196" s="11"/>
      <c r="O196" s="11"/>
      <c r="P196" s="12"/>
      <c r="Q196" s="13"/>
      <c r="R196" s="13"/>
    </row>
    <row r="197" ht="15" customHeight="1" s="4" customFormat="1">
      <c r="A197" s="9"/>
      <c r="B197" s="10"/>
      <c r="C197" s="11"/>
      <c r="D197" s="11"/>
      <c r="E197" s="9"/>
      <c r="F197" s="12"/>
      <c r="G197" s="12"/>
      <c r="H197" s="11"/>
      <c r="I197" s="11"/>
      <c r="J197" s="11"/>
      <c r="K197" s="11"/>
      <c r="L197" s="11"/>
      <c r="M197" s="11"/>
      <c r="N197" s="11"/>
      <c r="O197" s="11"/>
      <c r="P197" s="12"/>
      <c r="Q197" s="13"/>
      <c r="R197" s="13"/>
    </row>
    <row r="198" ht="15" customHeight="1" s="4" customFormat="1">
      <c r="A198" s="9"/>
      <c r="B198" s="10"/>
      <c r="C198" s="11"/>
      <c r="D198" s="11"/>
      <c r="E198" s="9"/>
      <c r="F198" s="12"/>
      <c r="G198" s="12"/>
      <c r="H198" s="11"/>
      <c r="I198" s="11"/>
      <c r="J198" s="11"/>
      <c r="K198" s="11"/>
      <c r="L198" s="11"/>
      <c r="M198" s="11"/>
      <c r="N198" s="11"/>
      <c r="O198" s="11"/>
      <c r="P198" s="12"/>
      <c r="Q198" s="13"/>
      <c r="R198" s="13"/>
    </row>
    <row r="199" ht="15" customHeight="1" s="4" customFormat="1">
      <c r="A199" s="9"/>
      <c r="B199" s="10"/>
      <c r="C199" s="11"/>
      <c r="D199" s="11"/>
      <c r="E199" s="9"/>
      <c r="F199" s="12"/>
      <c r="G199" s="12"/>
      <c r="H199" s="11"/>
      <c r="I199" s="11"/>
      <c r="J199" s="11"/>
      <c r="K199" s="11"/>
      <c r="L199" s="11"/>
      <c r="M199" s="11"/>
      <c r="N199" s="11"/>
      <c r="O199" s="11"/>
      <c r="P199" s="12"/>
      <c r="Q199" s="13"/>
      <c r="R199" s="13"/>
    </row>
    <row r="200" ht="15" customHeight="1" s="4" customFormat="1">
      <c r="A200" s="9"/>
      <c r="B200" s="10"/>
      <c r="C200" s="11"/>
      <c r="D200" s="11"/>
      <c r="E200" s="9"/>
      <c r="F200" s="12"/>
      <c r="G200" s="12"/>
      <c r="H200" s="11"/>
      <c r="I200" s="11"/>
      <c r="J200" s="11"/>
      <c r="K200" s="11"/>
      <c r="L200" s="11"/>
      <c r="M200" s="11"/>
      <c r="N200" s="11"/>
      <c r="O200" s="11"/>
      <c r="P200" s="12"/>
      <c r="Q200" s="13"/>
      <c r="R200" s="13"/>
    </row>
    <row r="201" ht="15" customHeight="1" s="4" customFormat="1">
      <c r="A201" s="9"/>
      <c r="B201" s="10"/>
      <c r="C201" s="11"/>
      <c r="D201" s="11"/>
      <c r="E201" s="9"/>
      <c r="F201" s="12"/>
      <c r="G201" s="12"/>
      <c r="H201" s="11"/>
      <c r="I201" s="11"/>
      <c r="J201" s="11"/>
      <c r="K201" s="11"/>
      <c r="L201" s="11"/>
      <c r="M201" s="11"/>
      <c r="N201" s="11"/>
      <c r="O201" s="11"/>
      <c r="P201" s="12"/>
      <c r="Q201" s="13"/>
      <c r="R201" s="13"/>
    </row>
    <row r="202" ht="15" customHeight="1" s="4" customFormat="1">
      <c r="A202" s="9"/>
      <c r="B202" s="10"/>
      <c r="C202" s="11"/>
      <c r="D202" s="11"/>
      <c r="E202" s="9"/>
      <c r="F202" s="12"/>
      <c r="G202" s="12"/>
      <c r="H202" s="11"/>
      <c r="I202" s="11"/>
      <c r="J202" s="11"/>
      <c r="K202" s="11"/>
      <c r="L202" s="11"/>
      <c r="M202" s="11"/>
      <c r="N202" s="11"/>
      <c r="O202" s="11"/>
      <c r="P202" s="12"/>
      <c r="Q202" s="13"/>
      <c r="R202" s="13"/>
    </row>
    <row r="203" ht="15" customHeight="1" s="4" customFormat="1">
      <c r="A203" s="9"/>
      <c r="B203" s="10"/>
      <c r="C203" s="11"/>
      <c r="D203" s="11"/>
      <c r="E203" s="9"/>
      <c r="F203" s="12"/>
      <c r="G203" s="12"/>
      <c r="H203" s="11"/>
      <c r="I203" s="11"/>
      <c r="J203" s="11"/>
      <c r="K203" s="11"/>
      <c r="L203" s="11"/>
      <c r="M203" s="11"/>
      <c r="N203" s="11"/>
      <c r="O203" s="11"/>
      <c r="P203" s="12"/>
      <c r="Q203" s="13"/>
      <c r="R203" s="13"/>
    </row>
    <row r="204" ht="15" customHeight="1" s="4" customFormat="1">
      <c r="A204" s="9"/>
      <c r="B204" s="10"/>
      <c r="C204" s="11"/>
      <c r="D204" s="11"/>
      <c r="E204" s="9"/>
      <c r="F204" s="12"/>
      <c r="G204" s="12"/>
      <c r="H204" s="11"/>
      <c r="I204" s="11"/>
      <c r="J204" s="11"/>
      <c r="K204" s="11"/>
      <c r="L204" s="11"/>
      <c r="M204" s="11"/>
      <c r="N204" s="11"/>
      <c r="O204" s="11"/>
      <c r="P204" s="12"/>
      <c r="Q204" s="13"/>
      <c r="R204" s="13"/>
    </row>
    <row r="205" ht="15" customHeight="1" s="4" customFormat="1">
      <c r="A205" s="9"/>
      <c r="B205" s="10"/>
      <c r="C205" s="11"/>
      <c r="D205" s="11"/>
      <c r="E205" s="9"/>
      <c r="F205" s="12"/>
      <c r="G205" s="12"/>
      <c r="H205" s="11"/>
      <c r="I205" s="11"/>
      <c r="J205" s="11"/>
      <c r="K205" s="11"/>
      <c r="L205" s="11"/>
      <c r="M205" s="11"/>
      <c r="N205" s="11"/>
      <c r="O205" s="11"/>
      <c r="P205" s="12"/>
      <c r="Q205" s="13"/>
      <c r="R205" s="13"/>
    </row>
    <row r="206" ht="15" customHeight="1" s="4" customFormat="1">
      <c r="A206" s="9"/>
      <c r="B206" s="10"/>
      <c r="C206" s="11"/>
      <c r="D206" s="11"/>
      <c r="E206" s="9"/>
      <c r="F206" s="12"/>
      <c r="G206" s="12"/>
      <c r="H206" s="11"/>
      <c r="I206" s="11"/>
      <c r="J206" s="11"/>
      <c r="K206" s="11"/>
      <c r="L206" s="11"/>
      <c r="M206" s="11"/>
      <c r="N206" s="11"/>
      <c r="O206" s="11"/>
      <c r="P206" s="12"/>
      <c r="Q206" s="13"/>
      <c r="R206" s="13"/>
    </row>
    <row r="207" ht="15" customHeight="1" s="4" customFormat="1">
      <c r="A207" s="9"/>
      <c r="B207" s="10"/>
      <c r="C207" s="11"/>
      <c r="D207" s="11"/>
      <c r="E207" s="9"/>
      <c r="F207" s="12"/>
      <c r="G207" s="12"/>
      <c r="H207" s="11"/>
      <c r="I207" s="11"/>
      <c r="J207" s="11"/>
      <c r="K207" s="11"/>
      <c r="L207" s="11"/>
      <c r="M207" s="11"/>
      <c r="N207" s="11"/>
      <c r="O207" s="11"/>
      <c r="P207" s="12"/>
      <c r="Q207" s="13"/>
      <c r="R207" s="13"/>
    </row>
    <row r="208" ht="15" customHeight="1" s="4" customFormat="1">
      <c r="A208" s="9"/>
      <c r="B208" s="10"/>
      <c r="C208" s="11"/>
      <c r="D208" s="11"/>
      <c r="E208" s="9"/>
      <c r="F208" s="12"/>
      <c r="G208" s="12"/>
      <c r="H208" s="11"/>
      <c r="I208" s="11"/>
      <c r="J208" s="11"/>
      <c r="K208" s="11"/>
      <c r="L208" s="11"/>
      <c r="M208" s="11"/>
      <c r="N208" s="11"/>
      <c r="O208" s="11"/>
      <c r="P208" s="12"/>
      <c r="Q208" s="13"/>
      <c r="R208" s="13"/>
    </row>
    <row r="209" ht="15" customHeight="1" s="4" customFormat="1">
      <c r="A209" s="9"/>
      <c r="B209" s="10"/>
      <c r="C209" s="11"/>
      <c r="D209" s="11"/>
      <c r="E209" s="9"/>
      <c r="F209" s="12"/>
      <c r="G209" s="12"/>
      <c r="H209" s="11"/>
      <c r="I209" s="11"/>
      <c r="J209" s="11"/>
      <c r="K209" s="11"/>
      <c r="L209" s="11"/>
      <c r="M209" s="11"/>
      <c r="N209" s="11"/>
      <c r="O209" s="11"/>
      <c r="P209" s="12"/>
      <c r="Q209" s="13"/>
      <c r="R209" s="13"/>
    </row>
    <row r="210" ht="15" customHeight="1" s="4" customFormat="1">
      <c r="A210" s="9"/>
      <c r="B210" s="10"/>
      <c r="C210" s="11"/>
      <c r="D210" s="11"/>
      <c r="E210" s="9"/>
      <c r="F210" s="12"/>
      <c r="G210" s="12"/>
      <c r="H210" s="11"/>
      <c r="I210" s="11"/>
      <c r="J210" s="11"/>
      <c r="K210" s="11"/>
      <c r="L210" s="11"/>
      <c r="M210" s="11"/>
      <c r="N210" s="11"/>
      <c r="O210" s="11"/>
      <c r="P210" s="12"/>
      <c r="Q210" s="13"/>
      <c r="R210" s="13"/>
    </row>
    <row r="211" ht="15" customHeight="1" s="4" customFormat="1">
      <c r="A211" s="9"/>
      <c r="B211" s="10"/>
      <c r="C211" s="11"/>
      <c r="D211" s="11"/>
      <c r="E211" s="9"/>
      <c r="F211" s="12"/>
      <c r="G211" s="12"/>
      <c r="H211" s="11"/>
      <c r="I211" s="11"/>
      <c r="J211" s="11"/>
      <c r="K211" s="11"/>
      <c r="L211" s="11"/>
      <c r="M211" s="11"/>
      <c r="N211" s="11"/>
      <c r="O211" s="11"/>
      <c r="P211" s="12"/>
      <c r="Q211" s="13"/>
      <c r="R211" s="13"/>
    </row>
    <row r="212" ht="15" customHeight="1" s="4" customFormat="1">
      <c r="A212" s="9"/>
      <c r="B212" s="10"/>
      <c r="C212" s="11"/>
      <c r="D212" s="11"/>
      <c r="E212" s="9"/>
      <c r="F212" s="12"/>
      <c r="G212" s="12"/>
      <c r="H212" s="11"/>
      <c r="I212" s="11"/>
      <c r="J212" s="11"/>
      <c r="K212" s="11"/>
      <c r="L212" s="11"/>
      <c r="M212" s="11"/>
      <c r="N212" s="11"/>
      <c r="O212" s="11"/>
      <c r="P212" s="12"/>
      <c r="Q212" s="13"/>
      <c r="R212" s="13"/>
    </row>
    <row r="213" ht="15" customHeight="1" s="4" customFormat="1">
      <c r="A213" s="9"/>
      <c r="B213" s="10"/>
      <c r="C213" s="11"/>
      <c r="D213" s="11"/>
      <c r="E213" s="9"/>
      <c r="F213" s="12"/>
      <c r="G213" s="12"/>
      <c r="H213" s="11"/>
      <c r="I213" s="11"/>
      <c r="J213" s="11"/>
      <c r="K213" s="11"/>
      <c r="L213" s="11"/>
      <c r="M213" s="11"/>
      <c r="N213" s="11"/>
      <c r="O213" s="11"/>
      <c r="P213" s="12"/>
      <c r="Q213" s="13"/>
      <c r="R213" s="13"/>
    </row>
    <row r="214" ht="15" customHeight="1" s="4" customFormat="1">
      <c r="A214" s="9"/>
      <c r="B214" s="10"/>
      <c r="C214" s="11"/>
      <c r="D214" s="11"/>
      <c r="E214" s="9"/>
      <c r="F214" s="12"/>
      <c r="G214" s="12"/>
      <c r="H214" s="11"/>
      <c r="I214" s="11"/>
      <c r="J214" s="11"/>
      <c r="K214" s="11"/>
      <c r="L214" s="11"/>
      <c r="M214" s="11"/>
      <c r="N214" s="11"/>
      <c r="O214" s="11"/>
      <c r="P214" s="12"/>
      <c r="Q214" s="13"/>
      <c r="R214" s="13"/>
    </row>
    <row r="215" ht="15" customHeight="1" s="4" customFormat="1">
      <c r="A215" s="9"/>
      <c r="B215" s="10"/>
      <c r="C215" s="11"/>
      <c r="D215" s="11"/>
      <c r="E215" s="9"/>
      <c r="F215" s="12"/>
      <c r="G215" s="12"/>
      <c r="H215" s="11"/>
      <c r="I215" s="11"/>
      <c r="J215" s="11"/>
      <c r="K215" s="11"/>
      <c r="L215" s="11"/>
      <c r="M215" s="11"/>
      <c r="N215" s="11"/>
      <c r="O215" s="11"/>
      <c r="P215" s="12"/>
      <c r="Q215" s="13"/>
      <c r="R215" s="13"/>
    </row>
    <row r="216" ht="15" customHeight="1" s="4" customFormat="1">
      <c r="A216" s="9"/>
      <c r="B216" s="10"/>
      <c r="C216" s="11"/>
      <c r="D216" s="11"/>
      <c r="E216" s="9"/>
      <c r="F216" s="12"/>
      <c r="G216" s="12"/>
      <c r="H216" s="11"/>
      <c r="I216" s="11"/>
      <c r="J216" s="11"/>
      <c r="K216" s="11"/>
      <c r="L216" s="11"/>
      <c r="M216" s="11"/>
      <c r="N216" s="11"/>
      <c r="O216" s="11"/>
      <c r="P216" s="12"/>
      <c r="Q216" s="13"/>
      <c r="R216" s="13"/>
    </row>
    <row r="217" ht="15" customHeight="1" s="4" customFormat="1">
      <c r="A217" s="9"/>
      <c r="B217" s="10"/>
      <c r="C217" s="11"/>
      <c r="D217" s="11"/>
      <c r="E217" s="9"/>
      <c r="F217" s="12"/>
      <c r="G217" s="12"/>
      <c r="H217" s="11"/>
      <c r="I217" s="11"/>
      <c r="J217" s="11"/>
      <c r="K217" s="11"/>
      <c r="L217" s="11"/>
      <c r="M217" s="11"/>
      <c r="N217" s="11"/>
      <c r="O217" s="11"/>
      <c r="P217" s="12"/>
      <c r="Q217" s="13"/>
      <c r="R217" s="13"/>
    </row>
    <row r="218" ht="15" customHeight="1" s="4" customFormat="1">
      <c r="A218" s="9"/>
      <c r="B218" s="10"/>
      <c r="C218" s="11"/>
      <c r="D218" s="11"/>
      <c r="E218" s="9"/>
      <c r="F218" s="12"/>
      <c r="G218" s="12"/>
      <c r="H218" s="11"/>
      <c r="I218" s="11"/>
      <c r="J218" s="11"/>
      <c r="K218" s="11"/>
      <c r="L218" s="11"/>
      <c r="M218" s="11"/>
      <c r="N218" s="11"/>
      <c r="O218" s="11"/>
      <c r="P218" s="12"/>
      <c r="Q218" s="13"/>
      <c r="R218" s="13"/>
    </row>
    <row r="219" ht="15" customHeight="1" s="4" customFormat="1">
      <c r="A219" s="9"/>
      <c r="B219" s="10"/>
      <c r="C219" s="11"/>
      <c r="D219" s="11"/>
      <c r="E219" s="9"/>
      <c r="F219" s="12"/>
      <c r="G219" s="12"/>
      <c r="H219" s="11"/>
      <c r="I219" s="11"/>
      <c r="J219" s="11"/>
      <c r="K219" s="11"/>
      <c r="L219" s="11"/>
      <c r="M219" s="11"/>
      <c r="N219" s="11"/>
      <c r="O219" s="11"/>
      <c r="P219" s="12"/>
      <c r="Q219" s="13"/>
      <c r="R219" s="13"/>
    </row>
    <row r="220" ht="15" customHeight="1" s="4" customFormat="1">
      <c r="A220" s="9"/>
      <c r="B220" s="10"/>
      <c r="C220" s="11"/>
      <c r="D220" s="11"/>
      <c r="E220" s="9"/>
      <c r="F220" s="12"/>
      <c r="G220" s="12"/>
      <c r="H220" s="11"/>
      <c r="I220" s="11"/>
      <c r="J220" s="11"/>
      <c r="K220" s="11"/>
      <c r="L220" s="11"/>
      <c r="M220" s="11"/>
      <c r="N220" s="11"/>
      <c r="O220" s="11"/>
      <c r="P220" s="12"/>
      <c r="Q220" s="13"/>
      <c r="R220" s="13"/>
    </row>
    <row r="221" ht="15" customHeight="1" s="4" customFormat="1">
      <c r="A221" s="9"/>
      <c r="B221" s="10"/>
      <c r="C221" s="11"/>
      <c r="D221" s="11"/>
      <c r="E221" s="9"/>
      <c r="F221" s="12"/>
      <c r="G221" s="12"/>
      <c r="H221" s="11"/>
      <c r="I221" s="11"/>
      <c r="J221" s="11"/>
      <c r="K221" s="11"/>
      <c r="L221" s="11"/>
      <c r="M221" s="11"/>
      <c r="N221" s="11"/>
      <c r="O221" s="11"/>
      <c r="P221" s="12"/>
      <c r="Q221" s="13"/>
      <c r="R221" s="13"/>
    </row>
    <row r="222" ht="15" customHeight="1" s="4" customFormat="1">
      <c r="A222" s="9"/>
      <c r="B222" s="10"/>
      <c r="C222" s="11"/>
      <c r="D222" s="11"/>
      <c r="E222" s="9"/>
      <c r="F222" s="12"/>
      <c r="G222" s="12"/>
      <c r="H222" s="11"/>
      <c r="I222" s="11"/>
      <c r="J222" s="11"/>
      <c r="K222" s="11"/>
      <c r="L222" s="11"/>
      <c r="M222" s="11"/>
      <c r="N222" s="11"/>
      <c r="O222" s="11"/>
      <c r="P222" s="12"/>
      <c r="Q222" s="13"/>
      <c r="R222" s="13"/>
    </row>
    <row r="223" ht="15" customHeight="1" s="4" customFormat="1">
      <c r="A223" s="9"/>
      <c r="B223" s="10"/>
      <c r="C223" s="11"/>
      <c r="D223" s="11"/>
      <c r="E223" s="9"/>
      <c r="F223" s="12"/>
      <c r="G223" s="12"/>
      <c r="H223" s="11"/>
      <c r="I223" s="11"/>
      <c r="J223" s="11"/>
      <c r="K223" s="11"/>
      <c r="L223" s="11"/>
      <c r="M223" s="11"/>
      <c r="N223" s="11"/>
      <c r="O223" s="11"/>
      <c r="P223" s="12"/>
      <c r="Q223" s="13"/>
      <c r="R223" s="13"/>
    </row>
    <row r="224" ht="15" customHeight="1" s="4" customFormat="1">
      <c r="A224" s="9"/>
      <c r="B224" s="10"/>
      <c r="C224" s="11"/>
      <c r="D224" s="11"/>
      <c r="E224" s="9"/>
      <c r="F224" s="12"/>
      <c r="G224" s="12"/>
      <c r="H224" s="11"/>
      <c r="I224" s="11"/>
      <c r="J224" s="11"/>
      <c r="K224" s="11"/>
      <c r="L224" s="11"/>
      <c r="M224" s="11"/>
      <c r="N224" s="11"/>
      <c r="O224" s="11"/>
      <c r="P224" s="12"/>
      <c r="Q224" s="13"/>
      <c r="R224" s="13"/>
    </row>
    <row r="225" ht="15" customHeight="1" s="4" customFormat="1">
      <c r="A225" s="9"/>
      <c r="B225" s="10"/>
      <c r="C225" s="11"/>
      <c r="D225" s="11"/>
      <c r="E225" s="9"/>
      <c r="F225" s="12"/>
      <c r="G225" s="12"/>
      <c r="H225" s="11"/>
      <c r="I225" s="11"/>
      <c r="J225" s="11"/>
      <c r="K225" s="11"/>
      <c r="L225" s="11"/>
      <c r="M225" s="11"/>
      <c r="N225" s="11"/>
      <c r="O225" s="11"/>
      <c r="P225" s="12"/>
      <c r="Q225" s="13"/>
      <c r="R225" s="13"/>
    </row>
    <row r="226" ht="15" customHeight="1" s="4" customFormat="1">
      <c r="A226" s="9"/>
      <c r="B226" s="10"/>
      <c r="C226" s="11"/>
      <c r="D226" s="11"/>
      <c r="E226" s="9"/>
      <c r="F226" s="12"/>
      <c r="G226" s="12"/>
      <c r="H226" s="11"/>
      <c r="I226" s="11"/>
      <c r="J226" s="11"/>
      <c r="K226" s="11"/>
      <c r="L226" s="11"/>
      <c r="M226" s="11"/>
      <c r="N226" s="11"/>
      <c r="O226" s="11"/>
      <c r="P226" s="12"/>
      <c r="Q226" s="13"/>
      <c r="R226" s="13"/>
    </row>
    <row r="227" ht="15" customHeight="1" s="4" customFormat="1">
      <c r="A227" s="9"/>
      <c r="B227" s="10"/>
      <c r="C227" s="11"/>
      <c r="D227" s="11"/>
      <c r="E227" s="9"/>
      <c r="F227" s="12"/>
      <c r="G227" s="12"/>
      <c r="H227" s="11"/>
      <c r="I227" s="11"/>
      <c r="J227" s="11"/>
      <c r="K227" s="11"/>
      <c r="L227" s="11"/>
      <c r="M227" s="11"/>
      <c r="N227" s="11"/>
      <c r="O227" s="11"/>
      <c r="P227" s="12"/>
      <c r="Q227" s="13"/>
      <c r="R227" s="13"/>
    </row>
    <row r="228" ht="15" customHeight="1" s="4" customFormat="1">
      <c r="A228" s="9"/>
      <c r="B228" s="10"/>
      <c r="C228" s="11"/>
      <c r="D228" s="11"/>
      <c r="E228" s="9"/>
      <c r="F228" s="12"/>
      <c r="G228" s="12"/>
      <c r="H228" s="11"/>
      <c r="I228" s="11"/>
      <c r="J228" s="11"/>
      <c r="K228" s="11"/>
      <c r="L228" s="11"/>
      <c r="M228" s="11"/>
      <c r="N228" s="11"/>
      <c r="O228" s="11"/>
      <c r="P228" s="12"/>
      <c r="Q228" s="13"/>
      <c r="R228" s="13"/>
    </row>
    <row r="229" ht="15" customHeight="1" s="4" customFormat="1">
      <c r="A229" s="9"/>
      <c r="B229" s="10"/>
      <c r="C229" s="11"/>
      <c r="D229" s="11"/>
      <c r="E229" s="9"/>
      <c r="F229" s="12"/>
      <c r="G229" s="12"/>
      <c r="H229" s="11"/>
      <c r="I229" s="11"/>
      <c r="J229" s="11"/>
      <c r="K229" s="11"/>
      <c r="L229" s="11"/>
      <c r="M229" s="11"/>
      <c r="N229" s="11"/>
      <c r="O229" s="11"/>
      <c r="P229" s="12"/>
      <c r="Q229" s="13"/>
      <c r="R229" s="13"/>
    </row>
    <row r="230" ht="15" customHeight="1" s="4" customFormat="1">
      <c r="A230" s="9"/>
      <c r="B230" s="10"/>
      <c r="C230" s="11"/>
      <c r="D230" s="11"/>
      <c r="E230" s="9"/>
      <c r="F230" s="12"/>
      <c r="G230" s="12"/>
      <c r="H230" s="11"/>
      <c r="I230" s="11"/>
      <c r="J230" s="11"/>
      <c r="K230" s="11"/>
      <c r="L230" s="11"/>
      <c r="M230" s="11"/>
      <c r="N230" s="11"/>
      <c r="O230" s="11"/>
      <c r="P230" s="12"/>
      <c r="Q230" s="13"/>
      <c r="R230" s="13"/>
    </row>
    <row r="231" ht="15" customHeight="1" s="4" customFormat="1">
      <c r="A231" s="9"/>
      <c r="B231" s="10"/>
      <c r="C231" s="11"/>
      <c r="D231" s="11"/>
      <c r="E231" s="9"/>
      <c r="F231" s="12"/>
      <c r="G231" s="12"/>
      <c r="H231" s="11"/>
      <c r="I231" s="11"/>
      <c r="J231" s="11"/>
      <c r="K231" s="11"/>
      <c r="L231" s="11"/>
      <c r="M231" s="11"/>
      <c r="N231" s="11"/>
      <c r="O231" s="11"/>
      <c r="P231" s="12"/>
      <c r="Q231" s="13"/>
      <c r="R231" s="13"/>
    </row>
    <row r="232" ht="15" customHeight="1" s="4" customFormat="1">
      <c r="A232" s="9"/>
      <c r="B232" s="10"/>
      <c r="C232" s="11"/>
      <c r="D232" s="11"/>
      <c r="E232" s="9"/>
      <c r="F232" s="12"/>
      <c r="G232" s="12"/>
      <c r="H232" s="11"/>
      <c r="I232" s="11"/>
      <c r="J232" s="11"/>
      <c r="K232" s="11"/>
      <c r="L232" s="11"/>
      <c r="M232" s="11"/>
      <c r="N232" s="11"/>
      <c r="O232" s="11"/>
      <c r="P232" s="12"/>
      <c r="Q232" s="13"/>
      <c r="R232" s="13"/>
    </row>
    <row r="233" ht="15" customHeight="1" s="4" customFormat="1">
      <c r="A233" s="9"/>
      <c r="B233" s="10"/>
      <c r="C233" s="11"/>
      <c r="D233" s="11"/>
      <c r="E233" s="9"/>
      <c r="F233" s="12"/>
      <c r="G233" s="12"/>
      <c r="H233" s="11"/>
      <c r="I233" s="11"/>
      <c r="J233" s="11"/>
      <c r="K233" s="11"/>
      <c r="L233" s="11"/>
      <c r="M233" s="11"/>
      <c r="N233" s="11"/>
      <c r="O233" s="11"/>
      <c r="P233" s="12"/>
      <c r="Q233" s="13"/>
      <c r="R233" s="13"/>
    </row>
    <row r="234" ht="15" customHeight="1" s="4" customFormat="1">
      <c r="A234" s="9"/>
      <c r="B234" s="10"/>
      <c r="C234" s="11"/>
      <c r="D234" s="11"/>
      <c r="E234" s="9"/>
      <c r="F234" s="12"/>
      <c r="G234" s="12"/>
      <c r="H234" s="11"/>
      <c r="I234" s="11"/>
      <c r="J234" s="11"/>
      <c r="K234" s="11"/>
      <c r="L234" s="11"/>
      <c r="M234" s="11"/>
      <c r="N234" s="11"/>
      <c r="O234" s="11"/>
      <c r="P234" s="12"/>
      <c r="Q234" s="13"/>
      <c r="R234" s="13"/>
    </row>
    <row r="235" ht="15" customHeight="1" s="4" customFormat="1">
      <c r="A235" s="9"/>
      <c r="B235" s="10"/>
      <c r="C235" s="11"/>
      <c r="D235" s="11"/>
      <c r="E235" s="9"/>
      <c r="F235" s="12"/>
      <c r="G235" s="12"/>
      <c r="H235" s="11"/>
      <c r="I235" s="11"/>
      <c r="J235" s="11"/>
      <c r="K235" s="11"/>
      <c r="L235" s="11"/>
      <c r="M235" s="11"/>
      <c r="N235" s="11"/>
      <c r="O235" s="11"/>
      <c r="P235" s="12"/>
      <c r="Q235" s="13"/>
      <c r="R235" s="13"/>
    </row>
    <row r="236" ht="15" customHeight="1" s="4" customFormat="1">
      <c r="A236" s="9"/>
      <c r="B236" s="10"/>
      <c r="C236" s="11"/>
      <c r="D236" s="11"/>
      <c r="E236" s="9"/>
      <c r="F236" s="12"/>
      <c r="G236" s="12"/>
      <c r="H236" s="11"/>
      <c r="I236" s="11"/>
      <c r="J236" s="11"/>
      <c r="K236" s="11"/>
      <c r="L236" s="11"/>
      <c r="M236" s="11"/>
      <c r="N236" s="11"/>
      <c r="O236" s="11"/>
      <c r="P236" s="12"/>
      <c r="Q236" s="13"/>
      <c r="R236" s="13"/>
    </row>
    <row r="237" ht="15" customHeight="1" s="4" customFormat="1">
      <c r="A237" s="9"/>
      <c r="B237" s="10"/>
      <c r="C237" s="11"/>
      <c r="D237" s="11"/>
      <c r="E237" s="9"/>
      <c r="F237" s="12"/>
      <c r="G237" s="12"/>
      <c r="H237" s="11"/>
      <c r="I237" s="11"/>
      <c r="J237" s="11"/>
      <c r="K237" s="11"/>
      <c r="L237" s="11"/>
      <c r="M237" s="11"/>
      <c r="N237" s="11"/>
      <c r="O237" s="11"/>
      <c r="P237" s="12"/>
      <c r="Q237" s="13"/>
      <c r="R237" s="13"/>
    </row>
    <row r="238" ht="15" customHeight="1" s="4" customFormat="1">
      <c r="A238" s="9"/>
      <c r="B238" s="10"/>
      <c r="C238" s="11"/>
      <c r="D238" s="11"/>
      <c r="E238" s="9"/>
      <c r="F238" s="12"/>
      <c r="G238" s="12"/>
      <c r="H238" s="11"/>
      <c r="I238" s="11"/>
      <c r="J238" s="11"/>
      <c r="K238" s="11"/>
      <c r="L238" s="11"/>
      <c r="M238" s="11"/>
      <c r="N238" s="11"/>
      <c r="O238" s="11"/>
      <c r="P238" s="12"/>
      <c r="Q238" s="13"/>
      <c r="R238" s="13"/>
    </row>
    <row r="239" ht="15" customHeight="1" s="4" customFormat="1">
      <c r="A239" s="9"/>
      <c r="B239" s="10"/>
      <c r="C239" s="11"/>
      <c r="D239" s="11"/>
      <c r="E239" s="9"/>
      <c r="F239" s="12"/>
      <c r="G239" s="12"/>
      <c r="H239" s="11"/>
      <c r="I239" s="11"/>
      <c r="J239" s="11"/>
      <c r="K239" s="11"/>
      <c r="L239" s="11"/>
      <c r="M239" s="11"/>
      <c r="N239" s="11"/>
      <c r="O239" s="11"/>
      <c r="P239" s="12"/>
      <c r="Q239" s="13"/>
      <c r="R239" s="13"/>
    </row>
    <row r="240" ht="15" customHeight="1" s="4" customFormat="1">
      <c r="A240" s="9"/>
      <c r="B240" s="10"/>
      <c r="C240" s="11"/>
      <c r="D240" s="11"/>
      <c r="E240" s="9"/>
      <c r="F240" s="12"/>
      <c r="G240" s="12"/>
      <c r="H240" s="11"/>
      <c r="I240" s="11"/>
      <c r="J240" s="11"/>
      <c r="K240" s="11"/>
      <c r="L240" s="11"/>
      <c r="M240" s="11"/>
      <c r="N240" s="11"/>
      <c r="O240" s="11"/>
      <c r="P240" s="12"/>
      <c r="Q240" s="13"/>
      <c r="R240" s="13"/>
    </row>
    <row r="241" ht="15" customHeight="1" s="4" customFormat="1">
      <c r="A241" s="9"/>
      <c r="B241" s="10"/>
      <c r="C241" s="11"/>
      <c r="D241" s="11"/>
      <c r="E241" s="9"/>
      <c r="F241" s="12"/>
      <c r="G241" s="12"/>
      <c r="H241" s="11"/>
      <c r="I241" s="11"/>
      <c r="J241" s="11"/>
      <c r="K241" s="11"/>
      <c r="L241" s="11"/>
      <c r="M241" s="11"/>
      <c r="N241" s="11"/>
      <c r="O241" s="11"/>
      <c r="P241" s="12"/>
      <c r="Q241" s="13"/>
      <c r="R241" s="13"/>
    </row>
    <row r="242" ht="15" customHeight="1" s="4" customFormat="1">
      <c r="A242" s="9"/>
      <c r="B242" s="10"/>
      <c r="C242" s="11"/>
      <c r="D242" s="11"/>
      <c r="E242" s="9"/>
      <c r="F242" s="12"/>
      <c r="G242" s="12"/>
      <c r="H242" s="11"/>
      <c r="I242" s="11"/>
      <c r="J242" s="11"/>
      <c r="K242" s="11"/>
      <c r="L242" s="11"/>
      <c r="M242" s="11"/>
      <c r="N242" s="11"/>
      <c r="O242" s="11"/>
      <c r="P242" s="12"/>
      <c r="Q242" s="13"/>
      <c r="R242" s="13"/>
    </row>
    <row r="243" ht="15" customHeight="1" s="4" customFormat="1">
      <c r="A243" s="9"/>
      <c r="B243" s="10"/>
      <c r="C243" s="11"/>
      <c r="D243" s="11"/>
      <c r="E243" s="9"/>
      <c r="F243" s="12"/>
      <c r="G243" s="12"/>
      <c r="H243" s="11"/>
      <c r="I243" s="11"/>
      <c r="J243" s="11"/>
      <c r="K243" s="11"/>
      <c r="L243" s="11"/>
      <c r="M243" s="11"/>
      <c r="N243" s="11"/>
      <c r="O243" s="11"/>
      <c r="P243" s="12"/>
      <c r="Q243" s="13"/>
      <c r="R243" s="13"/>
    </row>
    <row r="244" ht="15" customHeight="1" s="4" customFormat="1">
      <c r="A244" s="9"/>
      <c r="B244" s="10"/>
      <c r="C244" s="11"/>
      <c r="D244" s="11"/>
      <c r="E244" s="9"/>
      <c r="F244" s="12"/>
      <c r="G244" s="12"/>
      <c r="H244" s="11"/>
      <c r="I244" s="11"/>
      <c r="J244" s="11"/>
      <c r="K244" s="11"/>
      <c r="L244" s="11"/>
      <c r="M244" s="11"/>
      <c r="N244" s="11"/>
      <c r="O244" s="11"/>
      <c r="P244" s="12"/>
      <c r="Q244" s="13"/>
      <c r="R244" s="13"/>
    </row>
    <row r="245" ht="15" customHeight="1" s="4" customFormat="1">
      <c r="A245" s="9"/>
      <c r="B245" s="10"/>
      <c r="C245" s="11"/>
      <c r="D245" s="11"/>
      <c r="E245" s="9"/>
      <c r="F245" s="12"/>
      <c r="G245" s="12"/>
      <c r="H245" s="11"/>
      <c r="I245" s="11"/>
      <c r="J245" s="11"/>
      <c r="K245" s="11"/>
      <c r="L245" s="11"/>
      <c r="M245" s="11"/>
      <c r="N245" s="11"/>
      <c r="O245" s="11"/>
      <c r="P245" s="12"/>
      <c r="Q245" s="13"/>
      <c r="R245" s="13"/>
    </row>
    <row r="246" ht="15" customHeight="1" s="4" customFormat="1">
      <c r="A246" s="9"/>
      <c r="B246" s="10"/>
      <c r="C246" s="11"/>
      <c r="D246" s="11"/>
      <c r="E246" s="9"/>
      <c r="F246" s="12"/>
      <c r="G246" s="12"/>
      <c r="H246" s="11"/>
      <c r="I246" s="11"/>
      <c r="J246" s="11"/>
      <c r="K246" s="11"/>
      <c r="L246" s="11"/>
      <c r="M246" s="11"/>
      <c r="N246" s="11"/>
      <c r="O246" s="11"/>
      <c r="P246" s="12"/>
      <c r="Q246" s="13"/>
      <c r="R246" s="13"/>
    </row>
    <row r="247" ht="15" customHeight="1" s="4" customFormat="1">
      <c r="A247" s="9"/>
      <c r="B247" s="10"/>
      <c r="C247" s="11"/>
      <c r="D247" s="11"/>
      <c r="E247" s="9"/>
      <c r="F247" s="12"/>
      <c r="G247" s="12"/>
      <c r="H247" s="11"/>
      <c r="I247" s="11"/>
      <c r="J247" s="11"/>
      <c r="K247" s="11"/>
      <c r="L247" s="11"/>
      <c r="M247" s="11"/>
      <c r="N247" s="11"/>
      <c r="O247" s="11"/>
      <c r="P247" s="12"/>
      <c r="Q247" s="13"/>
      <c r="R247" s="13"/>
    </row>
    <row r="248" ht="15" customHeight="1" s="4" customFormat="1">
      <c r="A248" s="9"/>
      <c r="B248" s="10"/>
      <c r="C248" s="11"/>
      <c r="D248" s="11"/>
      <c r="E248" s="9"/>
      <c r="F248" s="12"/>
      <c r="G248" s="12"/>
      <c r="H248" s="11"/>
      <c r="I248" s="11"/>
      <c r="J248" s="11"/>
      <c r="K248" s="11"/>
      <c r="L248" s="11"/>
      <c r="M248" s="11"/>
      <c r="N248" s="11"/>
      <c r="O248" s="11"/>
      <c r="P248" s="12"/>
      <c r="Q248" s="13"/>
      <c r="R248" s="13"/>
    </row>
    <row r="249" ht="15" customHeight="1" s="4" customFormat="1">
      <c r="A249" s="9"/>
      <c r="B249" s="10"/>
      <c r="C249" s="11"/>
      <c r="D249" s="11"/>
      <c r="E249" s="9"/>
      <c r="F249" s="12"/>
      <c r="G249" s="12"/>
      <c r="H249" s="11"/>
      <c r="I249" s="11"/>
      <c r="J249" s="11"/>
      <c r="K249" s="11"/>
      <c r="L249" s="11"/>
      <c r="M249" s="11"/>
      <c r="N249" s="11"/>
      <c r="O249" s="11"/>
      <c r="P249" s="12"/>
      <c r="Q249" s="13"/>
      <c r="R249" s="13"/>
    </row>
    <row r="250" ht="15" customHeight="1" s="4" customFormat="1">
      <c r="A250" s="9"/>
      <c r="B250" s="10"/>
      <c r="C250" s="11"/>
      <c r="D250" s="11"/>
      <c r="E250" s="9"/>
      <c r="F250" s="12"/>
      <c r="G250" s="12"/>
      <c r="H250" s="11"/>
      <c r="I250" s="11"/>
      <c r="J250" s="11"/>
      <c r="K250" s="11"/>
      <c r="L250" s="11"/>
      <c r="M250" s="11"/>
      <c r="N250" s="11"/>
      <c r="O250" s="11"/>
      <c r="P250" s="12"/>
      <c r="Q250" s="13"/>
      <c r="R250" s="13"/>
    </row>
    <row r="251" ht="15" customHeight="1" s="4" customFormat="1">
      <c r="A251" s="9"/>
      <c r="B251" s="10"/>
      <c r="C251" s="11"/>
      <c r="D251" s="11"/>
      <c r="E251" s="9"/>
      <c r="F251" s="12"/>
      <c r="G251" s="12"/>
      <c r="H251" s="11"/>
      <c r="I251" s="11"/>
      <c r="J251" s="11"/>
      <c r="K251" s="11"/>
      <c r="L251" s="11"/>
      <c r="M251" s="11"/>
      <c r="N251" s="11"/>
      <c r="O251" s="11"/>
      <c r="P251" s="12"/>
      <c r="Q251" s="13"/>
      <c r="R251" s="13"/>
    </row>
    <row r="252" ht="15" customHeight="1" s="4" customFormat="1">
      <c r="A252" s="9"/>
      <c r="B252" s="10"/>
      <c r="C252" s="11"/>
      <c r="D252" s="11"/>
      <c r="E252" s="9"/>
      <c r="F252" s="12"/>
      <c r="G252" s="12"/>
      <c r="H252" s="11"/>
      <c r="I252" s="11"/>
      <c r="J252" s="11"/>
      <c r="K252" s="11"/>
      <c r="L252" s="11"/>
      <c r="M252" s="11"/>
      <c r="N252" s="11"/>
      <c r="O252" s="11"/>
      <c r="P252" s="12"/>
      <c r="Q252" s="13"/>
      <c r="R252" s="13"/>
    </row>
    <row r="253" ht="15" customHeight="1" s="4" customFormat="1">
      <c r="A253" s="9"/>
      <c r="B253" s="10"/>
      <c r="C253" s="11"/>
      <c r="D253" s="11"/>
      <c r="E253" s="9"/>
      <c r="F253" s="12"/>
      <c r="G253" s="12"/>
      <c r="H253" s="11"/>
      <c r="I253" s="11"/>
      <c r="J253" s="11"/>
      <c r="K253" s="11"/>
      <c r="L253" s="11"/>
      <c r="M253" s="11"/>
      <c r="N253" s="11"/>
      <c r="O253" s="11"/>
      <c r="P253" s="12"/>
      <c r="Q253" s="13"/>
      <c r="R253" s="13"/>
    </row>
    <row r="254" ht="15" customHeight="1" s="4" customFormat="1">
      <c r="A254" s="9"/>
      <c r="B254" s="10"/>
      <c r="C254" s="11"/>
      <c r="D254" s="11"/>
      <c r="E254" s="9"/>
      <c r="F254" s="12"/>
      <c r="G254" s="12"/>
      <c r="H254" s="11"/>
      <c r="I254" s="11"/>
      <c r="J254" s="11"/>
      <c r="K254" s="11"/>
      <c r="L254" s="11"/>
      <c r="M254" s="11"/>
      <c r="N254" s="11"/>
      <c r="O254" s="11"/>
      <c r="P254" s="12"/>
      <c r="Q254" s="13"/>
      <c r="R254" s="13"/>
    </row>
    <row r="255" ht="15" customHeight="1" s="4" customFormat="1">
      <c r="A255" s="9"/>
      <c r="B255" s="10"/>
      <c r="C255" s="11"/>
      <c r="D255" s="11"/>
      <c r="E255" s="9"/>
      <c r="F255" s="12"/>
      <c r="G255" s="12"/>
      <c r="H255" s="11"/>
      <c r="I255" s="11"/>
      <c r="J255" s="11"/>
      <c r="K255" s="11"/>
      <c r="L255" s="11"/>
      <c r="M255" s="11"/>
      <c r="N255" s="11"/>
      <c r="O255" s="11"/>
      <c r="P255" s="12"/>
      <c r="Q255" s="13"/>
      <c r="R255" s="13"/>
    </row>
    <row r="256" ht="15" customHeight="1" s="4" customFormat="1">
      <c r="A256" s="9"/>
      <c r="B256" s="10"/>
      <c r="C256" s="11"/>
      <c r="D256" s="11"/>
      <c r="E256" s="9"/>
      <c r="F256" s="12"/>
      <c r="G256" s="12"/>
      <c r="H256" s="11"/>
      <c r="I256" s="11"/>
      <c r="J256" s="11"/>
      <c r="K256" s="11"/>
      <c r="L256" s="11"/>
      <c r="M256" s="11"/>
      <c r="N256" s="11"/>
      <c r="O256" s="11"/>
      <c r="P256" s="12"/>
      <c r="Q256" s="13"/>
      <c r="R256" s="13"/>
    </row>
    <row r="257" ht="15" customHeight="1" s="4" customFormat="1">
      <c r="A257" s="9"/>
      <c r="B257" s="10"/>
      <c r="C257" s="11"/>
      <c r="D257" s="11"/>
      <c r="E257" s="9"/>
      <c r="F257" s="12"/>
      <c r="G257" s="12"/>
      <c r="H257" s="11"/>
      <c r="I257" s="11"/>
      <c r="J257" s="11"/>
      <c r="K257" s="11"/>
      <c r="L257" s="11"/>
      <c r="M257" s="11"/>
      <c r="N257" s="11"/>
      <c r="O257" s="11"/>
      <c r="P257" s="12"/>
      <c r="Q257" s="13"/>
      <c r="R257" s="13"/>
    </row>
    <row r="258" ht="15" customHeight="1" s="4" customFormat="1">
      <c r="A258" s="9"/>
      <c r="B258" s="10"/>
      <c r="C258" s="11"/>
      <c r="D258" s="11"/>
      <c r="E258" s="9"/>
      <c r="F258" s="12"/>
      <c r="G258" s="12"/>
      <c r="H258" s="11"/>
      <c r="I258" s="11"/>
      <c r="J258" s="11"/>
      <c r="K258" s="11"/>
      <c r="L258" s="11"/>
      <c r="M258" s="11"/>
      <c r="N258" s="11"/>
      <c r="O258" s="11"/>
      <c r="P258" s="12"/>
      <c r="Q258" s="13"/>
      <c r="R258" s="13"/>
    </row>
    <row r="259" ht="15" customHeight="1" s="4" customFormat="1">
      <c r="A259" s="9"/>
      <c r="B259" s="10"/>
      <c r="C259" s="11"/>
      <c r="D259" s="11"/>
      <c r="E259" s="9"/>
      <c r="F259" s="12"/>
      <c r="G259" s="12"/>
      <c r="H259" s="11"/>
      <c r="I259" s="11"/>
      <c r="J259" s="11"/>
      <c r="K259" s="11"/>
      <c r="L259" s="11"/>
      <c r="M259" s="11"/>
      <c r="N259" s="11"/>
      <c r="O259" s="11"/>
      <c r="P259" s="12"/>
      <c r="Q259" s="13"/>
      <c r="R259" s="13"/>
    </row>
    <row r="260" ht="15" customHeight="1" s="4" customFormat="1">
      <c r="A260" s="9"/>
      <c r="B260" s="10"/>
      <c r="C260" s="11"/>
      <c r="D260" s="11"/>
      <c r="E260" s="9"/>
      <c r="F260" s="12"/>
      <c r="G260" s="12"/>
      <c r="H260" s="11"/>
      <c r="I260" s="11"/>
      <c r="J260" s="11"/>
      <c r="K260" s="11"/>
      <c r="L260" s="11"/>
      <c r="M260" s="11"/>
      <c r="N260" s="11"/>
      <c r="O260" s="11"/>
      <c r="P260" s="12"/>
      <c r="Q260" s="13"/>
      <c r="R260" s="13"/>
    </row>
    <row r="261" ht="15" customHeight="1" s="4" customFormat="1">
      <c r="A261" s="9"/>
      <c r="B261" s="10"/>
      <c r="C261" s="11"/>
      <c r="D261" s="11"/>
      <c r="E261" s="9"/>
      <c r="F261" s="12"/>
      <c r="G261" s="12"/>
      <c r="H261" s="11"/>
      <c r="I261" s="11"/>
      <c r="J261" s="11"/>
      <c r="K261" s="11"/>
      <c r="L261" s="11"/>
      <c r="M261" s="11"/>
      <c r="N261" s="11"/>
      <c r="O261" s="11"/>
      <c r="P261" s="12"/>
      <c r="Q261" s="13"/>
      <c r="R261" s="13"/>
    </row>
    <row r="262" ht="15" customHeight="1" s="4" customFormat="1">
      <c r="A262" s="9"/>
      <c r="B262" s="10"/>
      <c r="C262" s="11"/>
      <c r="D262" s="11"/>
      <c r="E262" s="9"/>
      <c r="F262" s="12"/>
      <c r="G262" s="12"/>
      <c r="H262" s="11"/>
      <c r="I262" s="11"/>
      <c r="J262" s="11"/>
      <c r="K262" s="11"/>
      <c r="L262" s="11"/>
      <c r="M262" s="11"/>
      <c r="N262" s="11"/>
      <c r="O262" s="11"/>
      <c r="P262" s="12"/>
      <c r="Q262" s="13"/>
      <c r="R262" s="13"/>
    </row>
    <row r="263" ht="15" customHeight="1" s="4" customFormat="1">
      <c r="A263" s="9"/>
      <c r="B263" s="10"/>
      <c r="C263" s="11"/>
      <c r="D263" s="11"/>
      <c r="E263" s="9"/>
      <c r="F263" s="12"/>
      <c r="G263" s="12"/>
      <c r="H263" s="11"/>
      <c r="I263" s="11"/>
      <c r="J263" s="11"/>
      <c r="K263" s="11"/>
      <c r="L263" s="11"/>
      <c r="M263" s="11"/>
      <c r="N263" s="11"/>
      <c r="O263" s="11"/>
      <c r="P263" s="12"/>
      <c r="Q263" s="13"/>
      <c r="R263" s="13"/>
    </row>
    <row r="264" ht="15" customHeight="1" s="4" customFormat="1">
      <c r="A264" s="9"/>
      <c r="B264" s="10"/>
      <c r="C264" s="11"/>
      <c r="D264" s="11"/>
      <c r="E264" s="9"/>
      <c r="F264" s="12"/>
      <c r="G264" s="12"/>
      <c r="H264" s="11"/>
      <c r="I264" s="11"/>
      <c r="J264" s="11"/>
      <c r="K264" s="11"/>
      <c r="L264" s="11"/>
      <c r="M264" s="11"/>
      <c r="N264" s="11"/>
      <c r="O264" s="11"/>
      <c r="P264" s="12"/>
      <c r="Q264" s="13"/>
      <c r="R264" s="13"/>
    </row>
    <row r="265" ht="15" customHeight="1" s="4" customFormat="1">
      <c r="A265" s="9"/>
      <c r="B265" s="10"/>
      <c r="C265" s="11"/>
      <c r="D265" s="11"/>
      <c r="E265" s="9"/>
      <c r="F265" s="12"/>
      <c r="G265" s="12"/>
      <c r="H265" s="11"/>
      <c r="I265" s="11"/>
      <c r="J265" s="11"/>
      <c r="K265" s="11"/>
      <c r="L265" s="11"/>
      <c r="M265" s="11"/>
      <c r="N265" s="11"/>
      <c r="O265" s="11"/>
      <c r="P265" s="12"/>
      <c r="Q265" s="13"/>
      <c r="R265" s="13"/>
    </row>
    <row r="266" ht="15" customHeight="1" s="4" customFormat="1">
      <c r="A266" s="9"/>
      <c r="B266" s="10"/>
      <c r="C266" s="11"/>
      <c r="D266" s="11"/>
      <c r="E266" s="9"/>
      <c r="F266" s="12"/>
      <c r="G266" s="12"/>
      <c r="H266" s="11"/>
      <c r="I266" s="11"/>
      <c r="J266" s="11"/>
      <c r="K266" s="11"/>
      <c r="L266" s="11"/>
      <c r="M266" s="11"/>
      <c r="N266" s="11"/>
      <c r="O266" s="11"/>
      <c r="P266" s="12"/>
      <c r="Q266" s="13"/>
      <c r="R266" s="13"/>
    </row>
    <row r="267" ht="15" customHeight="1" s="4" customFormat="1">
      <c r="A267" s="9"/>
      <c r="B267" s="10"/>
      <c r="C267" s="11"/>
      <c r="D267" s="11"/>
      <c r="E267" s="9"/>
      <c r="F267" s="12"/>
      <c r="G267" s="12"/>
      <c r="H267" s="11"/>
      <c r="I267" s="11"/>
      <c r="J267" s="11"/>
      <c r="K267" s="11"/>
      <c r="L267" s="11"/>
      <c r="M267" s="11"/>
      <c r="N267" s="11"/>
      <c r="O267" s="11"/>
      <c r="P267" s="12"/>
      <c r="Q267" s="13"/>
      <c r="R267" s="13"/>
    </row>
    <row r="268" ht="15" customHeight="1" s="4" customFormat="1">
      <c r="A268" s="9"/>
      <c r="B268" s="10"/>
      <c r="C268" s="11"/>
      <c r="D268" s="11"/>
      <c r="E268" s="9"/>
      <c r="F268" s="12"/>
      <c r="G268" s="12"/>
      <c r="H268" s="11"/>
      <c r="I268" s="11"/>
      <c r="J268" s="11"/>
      <c r="K268" s="11"/>
      <c r="L268" s="11"/>
      <c r="M268" s="11"/>
      <c r="N268" s="11"/>
      <c r="O268" s="11"/>
      <c r="P268" s="12"/>
      <c r="Q268" s="13"/>
      <c r="R268" s="13"/>
    </row>
    <row r="269" ht="15" customHeight="1" s="4" customFormat="1">
      <c r="A269" s="9"/>
      <c r="B269" s="10"/>
      <c r="C269" s="11"/>
      <c r="D269" s="11"/>
      <c r="E269" s="9"/>
      <c r="F269" s="12"/>
      <c r="G269" s="12"/>
      <c r="H269" s="11"/>
      <c r="I269" s="11"/>
      <c r="J269" s="11"/>
      <c r="K269" s="11"/>
      <c r="L269" s="11"/>
      <c r="M269" s="11"/>
      <c r="N269" s="11"/>
      <c r="O269" s="11"/>
      <c r="P269" s="12"/>
      <c r="Q269" s="13"/>
      <c r="R269" s="13"/>
    </row>
    <row r="270" ht="15" customHeight="1" s="4" customFormat="1">
      <c r="A270" s="9"/>
      <c r="B270" s="10"/>
      <c r="C270" s="11"/>
      <c r="D270" s="11"/>
      <c r="E270" s="9"/>
      <c r="F270" s="12"/>
      <c r="G270" s="12"/>
      <c r="H270" s="11"/>
      <c r="I270" s="11"/>
      <c r="J270" s="11"/>
      <c r="K270" s="11"/>
      <c r="L270" s="11"/>
      <c r="M270" s="11"/>
      <c r="N270" s="11"/>
      <c r="O270" s="11"/>
      <c r="P270" s="12"/>
      <c r="Q270" s="13"/>
      <c r="R270" s="13"/>
    </row>
    <row r="271" ht="15" customHeight="1" s="4" customFormat="1">
      <c r="A271" s="9"/>
      <c r="B271" s="10"/>
      <c r="C271" s="11"/>
      <c r="D271" s="11"/>
      <c r="E271" s="9"/>
      <c r="F271" s="12"/>
      <c r="G271" s="12"/>
      <c r="H271" s="11"/>
      <c r="I271" s="11"/>
      <c r="J271" s="11"/>
      <c r="K271" s="11"/>
      <c r="L271" s="11"/>
      <c r="M271" s="11"/>
      <c r="N271" s="11"/>
      <c r="O271" s="11"/>
      <c r="P271" s="12"/>
      <c r="Q271" s="13"/>
      <c r="R271" s="13"/>
    </row>
    <row r="272" ht="15" customHeight="1" s="4" customFormat="1">
      <c r="A272" s="9"/>
      <c r="B272" s="10"/>
      <c r="C272" s="11"/>
      <c r="D272" s="11"/>
      <c r="E272" s="9"/>
      <c r="F272" s="12"/>
      <c r="G272" s="12"/>
      <c r="H272" s="11"/>
      <c r="I272" s="11"/>
      <c r="J272" s="11"/>
      <c r="K272" s="11"/>
      <c r="L272" s="11"/>
      <c r="M272" s="11"/>
      <c r="N272" s="11"/>
      <c r="O272" s="11"/>
      <c r="P272" s="12"/>
      <c r="Q272" s="13"/>
      <c r="R272" s="13"/>
    </row>
    <row r="273" ht="15" customHeight="1" s="4" customFormat="1">
      <c r="A273" s="9"/>
      <c r="B273" s="10"/>
      <c r="C273" s="11"/>
      <c r="D273" s="11"/>
      <c r="E273" s="9"/>
      <c r="F273" s="12"/>
      <c r="G273" s="12"/>
      <c r="H273" s="11"/>
      <c r="I273" s="11"/>
      <c r="J273" s="11"/>
      <c r="K273" s="11"/>
      <c r="L273" s="11"/>
      <c r="M273" s="11"/>
      <c r="N273" s="11"/>
      <c r="O273" s="11"/>
      <c r="P273" s="12"/>
      <c r="Q273" s="13"/>
      <c r="R273" s="13"/>
    </row>
    <row r="274" ht="15" customHeight="1" s="4" customFormat="1">
      <c r="A274" s="9"/>
      <c r="B274" s="10"/>
      <c r="C274" s="11"/>
      <c r="D274" s="11"/>
      <c r="E274" s="9"/>
      <c r="F274" s="12"/>
      <c r="G274" s="12"/>
      <c r="H274" s="11"/>
      <c r="I274" s="11"/>
      <c r="J274" s="11"/>
      <c r="K274" s="11"/>
      <c r="L274" s="11"/>
      <c r="M274" s="11"/>
      <c r="N274" s="11"/>
      <c r="O274" s="11"/>
      <c r="P274" s="12"/>
      <c r="Q274" s="13"/>
      <c r="R274" s="13"/>
    </row>
    <row r="275" ht="15" customHeight="1" s="4" customFormat="1">
      <c r="A275" s="9"/>
      <c r="B275" s="10"/>
      <c r="C275" s="11"/>
      <c r="D275" s="11"/>
      <c r="E275" s="9"/>
      <c r="F275" s="12"/>
      <c r="G275" s="12"/>
      <c r="H275" s="11"/>
      <c r="I275" s="11"/>
      <c r="J275" s="11"/>
      <c r="K275" s="11"/>
      <c r="L275" s="11"/>
      <c r="M275" s="11"/>
      <c r="N275" s="11"/>
      <c r="O275" s="11"/>
      <c r="P275" s="12"/>
      <c r="Q275" s="13"/>
      <c r="R275" s="13"/>
    </row>
    <row r="276" ht="15" customHeight="1" s="4" customFormat="1">
      <c r="A276" s="9"/>
      <c r="B276" s="10"/>
      <c r="C276" s="11"/>
      <c r="D276" s="11"/>
      <c r="E276" s="9"/>
      <c r="F276" s="12"/>
      <c r="G276" s="12"/>
      <c r="H276" s="11"/>
      <c r="I276" s="11"/>
      <c r="J276" s="11"/>
      <c r="K276" s="11"/>
      <c r="L276" s="11"/>
      <c r="M276" s="11"/>
      <c r="N276" s="11"/>
      <c r="O276" s="11"/>
      <c r="P276" s="12"/>
      <c r="Q276" s="13"/>
      <c r="R276" s="13"/>
    </row>
    <row r="277" ht="15" customHeight="1" s="4" customFormat="1">
      <c r="A277" s="9"/>
      <c r="B277" s="10"/>
      <c r="C277" s="11"/>
      <c r="D277" s="11"/>
      <c r="E277" s="9"/>
      <c r="F277" s="12"/>
      <c r="G277" s="12"/>
      <c r="H277" s="11"/>
      <c r="I277" s="11"/>
      <c r="J277" s="11"/>
      <c r="K277" s="11"/>
      <c r="L277" s="11"/>
      <c r="M277" s="11"/>
      <c r="N277" s="11"/>
      <c r="O277" s="11"/>
      <c r="P277" s="12"/>
      <c r="Q277" s="13"/>
      <c r="R277" s="13"/>
    </row>
    <row r="278" ht="15" customHeight="1" s="4" customFormat="1">
      <c r="A278" s="9"/>
      <c r="B278" s="10"/>
      <c r="C278" s="11"/>
      <c r="D278" s="11"/>
      <c r="E278" s="9"/>
      <c r="F278" s="12"/>
      <c r="G278" s="12"/>
      <c r="H278" s="11"/>
      <c r="I278" s="11"/>
      <c r="J278" s="11"/>
      <c r="K278" s="11"/>
      <c r="L278" s="11"/>
      <c r="M278" s="11"/>
      <c r="N278" s="11"/>
      <c r="O278" s="11"/>
      <c r="P278" s="12"/>
      <c r="Q278" s="13"/>
      <c r="R278" s="13"/>
    </row>
    <row r="279" ht="15" customHeight="1" s="4" customFormat="1">
      <c r="A279" s="9"/>
      <c r="B279" s="10"/>
      <c r="C279" s="11"/>
      <c r="D279" s="11"/>
      <c r="E279" s="9"/>
      <c r="F279" s="12"/>
      <c r="G279" s="12"/>
      <c r="H279" s="11"/>
      <c r="I279" s="11"/>
      <c r="J279" s="11"/>
      <c r="K279" s="11"/>
      <c r="L279" s="11"/>
      <c r="M279" s="11"/>
      <c r="N279" s="11"/>
      <c r="O279" s="11"/>
      <c r="P279" s="12"/>
      <c r="Q279" s="13"/>
      <c r="R279" s="13"/>
    </row>
    <row r="280" ht="15" customHeight="1" s="4" customFormat="1">
      <c r="A280" s="9"/>
      <c r="B280" s="10"/>
      <c r="C280" s="11"/>
      <c r="D280" s="11"/>
      <c r="E280" s="9"/>
      <c r="F280" s="12"/>
      <c r="G280" s="12"/>
      <c r="H280" s="11"/>
      <c r="I280" s="11"/>
      <c r="J280" s="11"/>
      <c r="K280" s="11"/>
      <c r="L280" s="11"/>
      <c r="M280" s="11"/>
      <c r="N280" s="11"/>
      <c r="O280" s="11"/>
      <c r="P280" s="12"/>
      <c r="Q280" s="13"/>
      <c r="R280" s="13"/>
    </row>
    <row r="281" ht="15" customHeight="1" s="4" customFormat="1">
      <c r="A281" s="9"/>
      <c r="B281" s="10"/>
      <c r="C281" s="11"/>
      <c r="D281" s="11"/>
      <c r="E281" s="9"/>
      <c r="F281" s="12"/>
      <c r="G281" s="12"/>
      <c r="H281" s="11"/>
      <c r="I281" s="11"/>
      <c r="J281" s="11"/>
      <c r="K281" s="11"/>
      <c r="L281" s="11"/>
      <c r="M281" s="11"/>
      <c r="N281" s="11"/>
      <c r="O281" s="11"/>
      <c r="P281" s="12"/>
      <c r="Q281" s="13"/>
      <c r="R281" s="13"/>
    </row>
    <row r="282" ht="15" customHeight="1" s="4" customFormat="1">
      <c r="A282" s="9"/>
      <c r="B282" s="10"/>
      <c r="C282" s="11"/>
      <c r="D282" s="11"/>
      <c r="E282" s="9"/>
      <c r="F282" s="12"/>
      <c r="G282" s="12"/>
      <c r="H282" s="11"/>
      <c r="I282" s="11"/>
      <c r="J282" s="11"/>
      <c r="K282" s="11"/>
      <c r="L282" s="11"/>
      <c r="M282" s="11"/>
      <c r="N282" s="11"/>
      <c r="O282" s="11"/>
      <c r="P282" s="12"/>
      <c r="Q282" s="13"/>
      <c r="R282" s="13"/>
    </row>
    <row r="283" ht="15" customHeight="1" s="4" customFormat="1">
      <c r="A283" s="9"/>
      <c r="B283" s="10"/>
      <c r="C283" s="11"/>
      <c r="D283" s="11"/>
      <c r="E283" s="9"/>
      <c r="F283" s="12"/>
      <c r="G283" s="12"/>
      <c r="H283" s="11"/>
      <c r="I283" s="11"/>
      <c r="J283" s="11"/>
      <c r="K283" s="11"/>
      <c r="L283" s="11"/>
      <c r="M283" s="11"/>
      <c r="N283" s="11"/>
      <c r="O283" s="11"/>
      <c r="P283" s="12"/>
      <c r="Q283" s="13"/>
      <c r="R283" s="13"/>
    </row>
    <row r="284" ht="15" customHeight="1" s="4" customFormat="1">
      <c r="A284" s="9"/>
      <c r="B284" s="10"/>
      <c r="C284" s="11"/>
      <c r="D284" s="11"/>
      <c r="E284" s="9"/>
      <c r="F284" s="12"/>
      <c r="G284" s="12"/>
      <c r="H284" s="11"/>
      <c r="I284" s="11"/>
      <c r="J284" s="11"/>
      <c r="K284" s="11"/>
      <c r="L284" s="11"/>
      <c r="M284" s="11"/>
      <c r="N284" s="11"/>
      <c r="O284" s="11"/>
      <c r="P284" s="12"/>
      <c r="Q284" s="13"/>
      <c r="R284" s="13"/>
    </row>
    <row r="285" ht="15" customHeight="1" s="4" customFormat="1">
      <c r="A285" s="9"/>
      <c r="B285" s="10"/>
      <c r="C285" s="11"/>
      <c r="D285" s="11"/>
      <c r="E285" s="9"/>
      <c r="F285" s="12"/>
      <c r="G285" s="12"/>
      <c r="H285" s="11"/>
      <c r="I285" s="11"/>
      <c r="J285" s="11"/>
      <c r="K285" s="11"/>
      <c r="L285" s="11"/>
      <c r="M285" s="11"/>
      <c r="N285" s="11"/>
      <c r="O285" s="11"/>
      <c r="P285" s="12"/>
      <c r="Q285" s="13"/>
      <c r="R285" s="13"/>
    </row>
    <row r="286" ht="15" customHeight="1" s="4" customFormat="1">
      <c r="A286" s="9"/>
      <c r="B286" s="10"/>
      <c r="C286" s="11"/>
      <c r="D286" s="11"/>
      <c r="E286" s="9"/>
      <c r="F286" s="12"/>
      <c r="G286" s="12"/>
      <c r="H286" s="11"/>
      <c r="I286" s="11"/>
      <c r="J286" s="11"/>
      <c r="K286" s="11"/>
      <c r="L286" s="11"/>
      <c r="M286" s="11"/>
      <c r="N286" s="11"/>
      <c r="O286" s="11"/>
      <c r="P286" s="12"/>
      <c r="Q286" s="13"/>
      <c r="R286" s="13"/>
    </row>
    <row r="287" ht="15" customHeight="1" s="4" customFormat="1">
      <c r="A287" s="9"/>
      <c r="B287" s="10"/>
      <c r="C287" s="11"/>
      <c r="D287" s="11"/>
      <c r="E287" s="9"/>
      <c r="F287" s="12"/>
      <c r="G287" s="12"/>
      <c r="H287" s="11"/>
      <c r="I287" s="11"/>
      <c r="J287" s="11"/>
      <c r="K287" s="11"/>
      <c r="L287" s="11"/>
      <c r="M287" s="11"/>
      <c r="N287" s="11"/>
      <c r="O287" s="11"/>
      <c r="P287" s="12"/>
      <c r="Q287" s="13"/>
      <c r="R287" s="13"/>
    </row>
    <row r="288" ht="15" customHeight="1" s="4" customFormat="1">
      <c r="A288" s="9"/>
      <c r="B288" s="10"/>
      <c r="C288" s="11"/>
      <c r="D288" s="11"/>
      <c r="E288" s="9"/>
      <c r="F288" s="12"/>
      <c r="G288" s="12"/>
      <c r="H288" s="11"/>
      <c r="I288" s="11"/>
      <c r="J288" s="11"/>
      <c r="K288" s="11"/>
      <c r="L288" s="11"/>
      <c r="M288" s="11"/>
      <c r="N288" s="11"/>
      <c r="O288" s="11"/>
      <c r="P288" s="12"/>
      <c r="Q288" s="13"/>
      <c r="R288" s="13"/>
    </row>
    <row r="289" ht="15" customHeight="1" s="4" customFormat="1">
      <c r="A289" s="9"/>
      <c r="B289" s="10"/>
      <c r="C289" s="11"/>
      <c r="D289" s="11"/>
      <c r="E289" s="9"/>
      <c r="F289" s="12"/>
      <c r="G289" s="12"/>
      <c r="H289" s="11"/>
      <c r="I289" s="11"/>
      <c r="J289" s="11"/>
      <c r="K289" s="11"/>
      <c r="L289" s="11"/>
      <c r="M289" s="11"/>
      <c r="N289" s="11"/>
      <c r="O289" s="11"/>
      <c r="P289" s="12"/>
      <c r="Q289" s="13"/>
      <c r="R289" s="13"/>
    </row>
    <row r="290" ht="15" customHeight="1" s="4" customFormat="1">
      <c r="A290" s="9"/>
      <c r="B290" s="10"/>
      <c r="C290" s="11"/>
      <c r="D290" s="11"/>
      <c r="E290" s="9"/>
      <c r="F290" s="12"/>
      <c r="G290" s="12"/>
      <c r="H290" s="11"/>
      <c r="I290" s="11"/>
      <c r="J290" s="11"/>
      <c r="K290" s="11"/>
      <c r="L290" s="11"/>
      <c r="M290" s="11"/>
      <c r="N290" s="11"/>
      <c r="O290" s="11"/>
      <c r="P290" s="12"/>
      <c r="Q290" s="13"/>
      <c r="R290" s="13"/>
    </row>
    <row r="291" ht="15" customHeight="1" s="4" customFormat="1">
      <c r="A291" s="9"/>
      <c r="B291" s="10"/>
      <c r="C291" s="11"/>
      <c r="D291" s="11"/>
      <c r="E291" s="9"/>
      <c r="F291" s="12"/>
      <c r="G291" s="12"/>
      <c r="H291" s="11"/>
      <c r="I291" s="11"/>
      <c r="J291" s="11"/>
      <c r="K291" s="11"/>
      <c r="L291" s="11"/>
      <c r="M291" s="11"/>
      <c r="N291" s="11"/>
      <c r="O291" s="11"/>
      <c r="P291" s="12"/>
      <c r="Q291" s="13"/>
      <c r="R291" s="13"/>
    </row>
    <row r="292" ht="15" customHeight="1" s="4" customFormat="1">
      <c r="A292" s="9"/>
      <c r="B292" s="10"/>
      <c r="C292" s="11"/>
      <c r="D292" s="11"/>
      <c r="E292" s="9"/>
      <c r="F292" s="12"/>
      <c r="G292" s="12"/>
      <c r="H292" s="11"/>
      <c r="I292" s="11"/>
      <c r="J292" s="11"/>
      <c r="K292" s="11"/>
      <c r="L292" s="11"/>
      <c r="M292" s="11"/>
      <c r="N292" s="11"/>
      <c r="O292" s="11"/>
      <c r="P292" s="12"/>
      <c r="Q292" s="13"/>
      <c r="R292" s="13"/>
    </row>
    <row r="293" ht="15" customHeight="1" s="4" customFormat="1">
      <c r="A293" s="9"/>
      <c r="B293" s="10"/>
      <c r="C293" s="11"/>
      <c r="D293" s="11"/>
      <c r="E293" s="9"/>
      <c r="F293" s="12"/>
      <c r="G293" s="12"/>
      <c r="H293" s="11"/>
      <c r="I293" s="11"/>
      <c r="J293" s="11"/>
      <c r="K293" s="11"/>
      <c r="L293" s="11"/>
      <c r="M293" s="11"/>
      <c r="N293" s="11"/>
      <c r="O293" s="11"/>
      <c r="P293" s="12"/>
      <c r="Q293" s="13"/>
      <c r="R293" s="13"/>
    </row>
    <row r="294" ht="15" customHeight="1" s="4" customFormat="1">
      <c r="A294" s="9"/>
      <c r="B294" s="10"/>
      <c r="C294" s="11"/>
      <c r="D294" s="11"/>
      <c r="E294" s="9"/>
      <c r="F294" s="12"/>
      <c r="G294" s="12"/>
      <c r="H294" s="11"/>
      <c r="I294" s="11"/>
      <c r="J294" s="11"/>
      <c r="K294" s="11"/>
      <c r="L294" s="11"/>
      <c r="M294" s="11"/>
      <c r="N294" s="11"/>
      <c r="O294" s="11"/>
      <c r="P294" s="12"/>
      <c r="Q294" s="13"/>
      <c r="R294" s="13"/>
    </row>
    <row r="295" ht="15" customHeight="1" s="4" customFormat="1">
      <c r="A295" s="9"/>
      <c r="B295" s="10"/>
      <c r="C295" s="11"/>
      <c r="D295" s="11"/>
      <c r="E295" s="9"/>
      <c r="F295" s="12"/>
      <c r="G295" s="12"/>
      <c r="H295" s="11"/>
      <c r="I295" s="11"/>
      <c r="J295" s="11"/>
      <c r="K295" s="11"/>
      <c r="L295" s="11"/>
      <c r="M295" s="11"/>
      <c r="N295" s="11"/>
      <c r="O295" s="11"/>
      <c r="P295" s="12"/>
      <c r="Q295" s="13"/>
      <c r="R295" s="13"/>
    </row>
    <row r="296" ht="15" customHeight="1" s="4" customFormat="1">
      <c r="A296" s="9"/>
      <c r="B296" s="10"/>
      <c r="C296" s="11"/>
      <c r="D296" s="11"/>
      <c r="E296" s="9"/>
      <c r="F296" s="12"/>
      <c r="G296" s="12"/>
      <c r="H296" s="11"/>
      <c r="I296" s="11"/>
      <c r="J296" s="11"/>
      <c r="K296" s="11"/>
      <c r="L296" s="11"/>
      <c r="M296" s="11"/>
      <c r="N296" s="11"/>
      <c r="O296" s="11"/>
      <c r="P296" s="12"/>
      <c r="Q296" s="13"/>
      <c r="R296" s="13"/>
    </row>
    <row r="297" ht="15" customHeight="1" s="4" customFormat="1">
      <c r="A297" s="9"/>
      <c r="B297" s="10"/>
      <c r="C297" s="11"/>
      <c r="D297" s="11"/>
      <c r="E297" s="9"/>
      <c r="F297" s="12"/>
      <c r="G297" s="12"/>
      <c r="H297" s="11"/>
      <c r="I297" s="11"/>
      <c r="J297" s="11"/>
      <c r="K297" s="11"/>
      <c r="L297" s="11"/>
      <c r="M297" s="11"/>
      <c r="N297" s="11"/>
      <c r="O297" s="11"/>
      <c r="P297" s="12"/>
      <c r="Q297" s="13"/>
      <c r="R297" s="13"/>
    </row>
    <row r="298" ht="15" customHeight="1" s="4" customFormat="1">
      <c r="A298" s="9"/>
      <c r="B298" s="10"/>
      <c r="C298" s="11"/>
      <c r="D298" s="11"/>
      <c r="E298" s="9"/>
      <c r="F298" s="12"/>
      <c r="G298" s="12"/>
      <c r="H298" s="11"/>
      <c r="I298" s="11"/>
      <c r="J298" s="11"/>
      <c r="K298" s="11"/>
      <c r="L298" s="11"/>
      <c r="M298" s="11"/>
      <c r="N298" s="11"/>
      <c r="O298" s="11"/>
      <c r="P298" s="12"/>
      <c r="Q298" s="13"/>
      <c r="R298" s="13"/>
    </row>
    <row r="299" ht="15" customHeight="1" s="4" customFormat="1">
      <c r="A299" s="9"/>
      <c r="B299" s="10"/>
      <c r="C299" s="11"/>
      <c r="D299" s="11"/>
      <c r="E299" s="9"/>
      <c r="F299" s="12"/>
      <c r="G299" s="12"/>
      <c r="H299" s="11"/>
      <c r="I299" s="11"/>
      <c r="J299" s="11"/>
      <c r="K299" s="11"/>
      <c r="L299" s="11"/>
      <c r="M299" s="11"/>
      <c r="N299" s="11"/>
      <c r="O299" s="11"/>
      <c r="P299" s="12"/>
      <c r="Q299" s="13"/>
      <c r="R299" s="13"/>
    </row>
    <row r="300" ht="15" customHeight="1" s="4" customFormat="1">
      <c r="A300" s="9"/>
      <c r="B300" s="10"/>
      <c r="C300" s="11"/>
      <c r="D300" s="11"/>
      <c r="E300" s="9"/>
      <c r="F300" s="12"/>
      <c r="G300" s="12"/>
      <c r="H300" s="11"/>
      <c r="I300" s="11"/>
      <c r="J300" s="11"/>
      <c r="K300" s="11"/>
      <c r="L300" s="11"/>
      <c r="M300" s="11"/>
      <c r="N300" s="11"/>
      <c r="O300" s="11"/>
      <c r="P300" s="12"/>
      <c r="Q300" s="13"/>
      <c r="R300" s="13"/>
    </row>
    <row r="301" ht="15" customHeight="1" s="4" customFormat="1">
      <c r="A301" s="9"/>
      <c r="B301" s="10"/>
      <c r="C301" s="11"/>
      <c r="D301" s="11"/>
      <c r="E301" s="9"/>
      <c r="F301" s="12"/>
      <c r="G301" s="12"/>
      <c r="H301" s="11"/>
      <c r="I301" s="11"/>
      <c r="J301" s="11"/>
      <c r="K301" s="11"/>
      <c r="L301" s="11"/>
      <c r="M301" s="11"/>
      <c r="N301" s="11"/>
      <c r="O301" s="11"/>
      <c r="P301" s="12"/>
      <c r="Q301" s="13"/>
      <c r="R301" s="13"/>
    </row>
    <row r="302" ht="15" customHeight="1" s="4" customFormat="1">
      <c r="A302" s="9"/>
      <c r="B302" s="10"/>
      <c r="C302" s="11"/>
      <c r="D302" s="11"/>
      <c r="E302" s="9"/>
      <c r="F302" s="12"/>
      <c r="G302" s="12"/>
      <c r="H302" s="11"/>
      <c r="I302" s="11"/>
      <c r="J302" s="11"/>
      <c r="K302" s="11"/>
      <c r="L302" s="11"/>
      <c r="M302" s="11"/>
      <c r="N302" s="11"/>
      <c r="O302" s="11"/>
      <c r="P302" s="12"/>
      <c r="Q302" s="13"/>
      <c r="R302" s="13"/>
    </row>
    <row r="303" ht="15" customHeight="1" s="4" customFormat="1">
      <c r="A303" s="9"/>
      <c r="B303" s="10"/>
      <c r="C303" s="11"/>
      <c r="D303" s="11"/>
      <c r="E303" s="9"/>
      <c r="F303" s="12"/>
      <c r="G303" s="12"/>
      <c r="H303" s="11"/>
      <c r="I303" s="11"/>
      <c r="J303" s="11"/>
      <c r="K303" s="11"/>
      <c r="L303" s="11"/>
      <c r="M303" s="11"/>
      <c r="N303" s="11"/>
      <c r="O303" s="11"/>
      <c r="P303" s="12"/>
      <c r="Q303" s="13"/>
      <c r="R303" s="13"/>
    </row>
    <row r="304" ht="15" customHeight="1" s="4" customFormat="1">
      <c r="A304" s="9"/>
      <c r="B304" s="10"/>
      <c r="C304" s="11"/>
      <c r="D304" s="11"/>
      <c r="E304" s="9"/>
      <c r="F304" s="12"/>
      <c r="G304" s="12"/>
      <c r="H304" s="11"/>
      <c r="I304" s="11"/>
      <c r="J304" s="11"/>
      <c r="K304" s="11"/>
      <c r="L304" s="11"/>
      <c r="M304" s="11"/>
      <c r="N304" s="11"/>
      <c r="O304" s="11"/>
      <c r="P304" s="12"/>
      <c r="Q304" s="13"/>
      <c r="R304" s="13"/>
    </row>
    <row r="305" ht="15" customHeight="1" s="4" customFormat="1">
      <c r="A305" s="9"/>
      <c r="B305" s="10"/>
      <c r="C305" s="11"/>
      <c r="D305" s="11"/>
      <c r="E305" s="9"/>
      <c r="F305" s="12"/>
      <c r="G305" s="12"/>
      <c r="H305" s="11"/>
      <c r="I305" s="11"/>
      <c r="J305" s="11"/>
      <c r="K305" s="11"/>
      <c r="L305" s="11"/>
      <c r="M305" s="11"/>
      <c r="N305" s="11"/>
      <c r="O305" s="11"/>
      <c r="P305" s="12"/>
      <c r="Q305" s="13"/>
      <c r="R305" s="13"/>
    </row>
    <row r="306" ht="15" customHeight="1" s="4" customFormat="1">
      <c r="A306" s="9"/>
      <c r="B306" s="10"/>
      <c r="C306" s="11"/>
      <c r="D306" s="11"/>
      <c r="E306" s="9"/>
      <c r="F306" s="12"/>
      <c r="G306" s="12"/>
      <c r="H306" s="11"/>
      <c r="I306" s="11"/>
      <c r="J306" s="11"/>
      <c r="K306" s="11"/>
      <c r="L306" s="11"/>
      <c r="M306" s="11"/>
      <c r="N306" s="11"/>
      <c r="O306" s="11"/>
      <c r="P306" s="12"/>
      <c r="Q306" s="13"/>
      <c r="R306" s="13"/>
    </row>
    <row r="307" ht="15" customHeight="1" s="4" customFormat="1">
      <c r="A307" s="9"/>
      <c r="B307" s="10"/>
      <c r="C307" s="11"/>
      <c r="D307" s="11"/>
      <c r="E307" s="9"/>
      <c r="F307" s="12"/>
      <c r="G307" s="12"/>
      <c r="H307" s="11"/>
      <c r="I307" s="11"/>
      <c r="J307" s="11"/>
      <c r="K307" s="11"/>
      <c r="L307" s="11"/>
      <c r="M307" s="11"/>
      <c r="N307" s="11"/>
      <c r="O307" s="11"/>
      <c r="P307" s="12"/>
      <c r="Q307" s="13"/>
      <c r="R307" s="13"/>
    </row>
    <row r="308" ht="15" customHeight="1" s="4" customFormat="1">
      <c r="A308" s="9"/>
      <c r="B308" s="10"/>
      <c r="C308" s="11"/>
      <c r="D308" s="11"/>
      <c r="E308" s="9"/>
      <c r="F308" s="12"/>
      <c r="G308" s="12"/>
      <c r="H308" s="11"/>
      <c r="I308" s="11"/>
      <c r="J308" s="11"/>
      <c r="K308" s="11"/>
      <c r="L308" s="11"/>
      <c r="M308" s="11"/>
      <c r="N308" s="11"/>
      <c r="O308" s="11"/>
      <c r="P308" s="12"/>
      <c r="Q308" s="13"/>
      <c r="R308" s="13"/>
    </row>
    <row r="309" ht="15" customHeight="1" s="4" customFormat="1">
      <c r="A309" s="9"/>
      <c r="B309" s="10"/>
      <c r="C309" s="11"/>
      <c r="D309" s="11"/>
      <c r="E309" s="9"/>
      <c r="F309" s="12"/>
      <c r="G309" s="12"/>
      <c r="H309" s="11"/>
      <c r="I309" s="11"/>
      <c r="J309" s="11"/>
      <c r="K309" s="11"/>
      <c r="L309" s="11"/>
      <c r="M309" s="11"/>
      <c r="N309" s="11"/>
      <c r="O309" s="11"/>
      <c r="P309" s="12"/>
      <c r="Q309" s="13"/>
      <c r="R309" s="13"/>
    </row>
    <row r="310" ht="15" customHeight="1" s="4" customFormat="1">
      <c r="A310" s="9"/>
      <c r="B310" s="10"/>
      <c r="C310" s="11"/>
      <c r="D310" s="11"/>
      <c r="E310" s="9"/>
      <c r="F310" s="12"/>
      <c r="G310" s="12"/>
      <c r="H310" s="11"/>
      <c r="I310" s="11"/>
      <c r="J310" s="11"/>
      <c r="K310" s="11"/>
      <c r="L310" s="11"/>
      <c r="M310" s="11"/>
      <c r="N310" s="11"/>
      <c r="O310" s="11"/>
      <c r="P310" s="12"/>
      <c r="Q310" s="13"/>
      <c r="R310" s="13"/>
    </row>
    <row r="311" ht="15" customHeight="1" s="4" customFormat="1">
      <c r="A311" s="9"/>
      <c r="B311" s="10"/>
      <c r="C311" s="11"/>
      <c r="D311" s="11"/>
      <c r="E311" s="9"/>
      <c r="F311" s="12"/>
      <c r="G311" s="12"/>
      <c r="H311" s="11"/>
      <c r="I311" s="11"/>
      <c r="J311" s="11"/>
      <c r="K311" s="11"/>
      <c r="L311" s="11"/>
      <c r="M311" s="11"/>
      <c r="N311" s="11"/>
      <c r="O311" s="11"/>
      <c r="P311" s="12"/>
      <c r="Q311" s="13"/>
      <c r="R311" s="13"/>
    </row>
    <row r="312" ht="15" customHeight="1" s="4" customFormat="1">
      <c r="A312" s="9"/>
      <c r="B312" s="10"/>
      <c r="C312" s="11"/>
      <c r="D312" s="11"/>
      <c r="E312" s="9"/>
      <c r="F312" s="12"/>
      <c r="G312" s="12"/>
      <c r="H312" s="11"/>
      <c r="I312" s="11"/>
      <c r="J312" s="11"/>
      <c r="K312" s="11"/>
      <c r="L312" s="11"/>
      <c r="M312" s="11"/>
      <c r="N312" s="11"/>
      <c r="O312" s="11"/>
      <c r="P312" s="12"/>
      <c r="Q312" s="13"/>
      <c r="R312" s="13"/>
    </row>
    <row r="313" ht="15" customHeight="1" s="4" customFormat="1">
      <c r="A313" s="9"/>
      <c r="B313" s="10"/>
      <c r="C313" s="11"/>
      <c r="D313" s="11"/>
      <c r="E313" s="9"/>
      <c r="F313" s="12"/>
      <c r="G313" s="12"/>
      <c r="H313" s="11"/>
      <c r="I313" s="11"/>
      <c r="J313" s="11"/>
      <c r="K313" s="11"/>
      <c r="L313" s="11"/>
      <c r="M313" s="11"/>
      <c r="N313" s="11"/>
      <c r="O313" s="11"/>
      <c r="P313" s="12"/>
      <c r="Q313" s="13"/>
      <c r="R313" s="13"/>
    </row>
    <row r="314" ht="15" customHeight="1" s="4" customFormat="1">
      <c r="A314" s="9"/>
      <c r="B314" s="10"/>
      <c r="C314" s="11"/>
      <c r="D314" s="11"/>
      <c r="E314" s="9"/>
      <c r="F314" s="12"/>
      <c r="G314" s="12"/>
      <c r="H314" s="11"/>
      <c r="I314" s="11"/>
      <c r="J314" s="11"/>
      <c r="K314" s="11"/>
      <c r="L314" s="11"/>
      <c r="M314" s="11"/>
      <c r="N314" s="11"/>
      <c r="O314" s="11"/>
      <c r="P314" s="12"/>
      <c r="Q314" s="13"/>
      <c r="R314" s="13"/>
    </row>
    <row r="315" ht="15" customHeight="1" s="4" customFormat="1">
      <c r="A315" s="9"/>
      <c r="B315" s="10"/>
      <c r="C315" s="11"/>
      <c r="D315" s="11"/>
      <c r="E315" s="9"/>
      <c r="F315" s="12"/>
      <c r="G315" s="12"/>
      <c r="H315" s="11"/>
      <c r="I315" s="11"/>
      <c r="J315" s="11"/>
      <c r="K315" s="11"/>
      <c r="L315" s="11"/>
      <c r="M315" s="11"/>
      <c r="N315" s="11"/>
      <c r="O315" s="11"/>
      <c r="P315" s="12"/>
      <c r="Q315" s="13"/>
      <c r="R315" s="13"/>
    </row>
    <row r="316" ht="15" customHeight="1" s="4" customFormat="1">
      <c r="A316" s="9"/>
      <c r="B316" s="10"/>
      <c r="C316" s="11"/>
      <c r="D316" s="11"/>
      <c r="E316" s="9"/>
      <c r="F316" s="12"/>
      <c r="G316" s="12"/>
      <c r="H316" s="11"/>
      <c r="I316" s="11"/>
      <c r="J316" s="11"/>
      <c r="K316" s="11"/>
      <c r="L316" s="11"/>
      <c r="M316" s="11"/>
      <c r="N316" s="11"/>
      <c r="O316" s="11"/>
      <c r="P316" s="12"/>
      <c r="Q316" s="13"/>
      <c r="R316" s="13"/>
    </row>
    <row r="317" ht="15" customHeight="1" s="4" customFormat="1">
      <c r="A317" s="9"/>
      <c r="B317" s="10"/>
      <c r="C317" s="11"/>
      <c r="D317" s="11"/>
      <c r="E317" s="9"/>
      <c r="F317" s="12"/>
      <c r="G317" s="12"/>
      <c r="H317" s="11"/>
      <c r="I317" s="11"/>
      <c r="J317" s="11"/>
      <c r="K317" s="11"/>
      <c r="L317" s="11"/>
      <c r="M317" s="11"/>
      <c r="N317" s="11"/>
      <c r="O317" s="11"/>
      <c r="P317" s="12"/>
      <c r="Q317" s="13"/>
      <c r="R317" s="13"/>
    </row>
    <row r="318" ht="15" customHeight="1" s="4" customFormat="1">
      <c r="A318" s="9"/>
      <c r="B318" s="10"/>
      <c r="C318" s="11"/>
      <c r="D318" s="11"/>
      <c r="E318" s="9"/>
      <c r="F318" s="12"/>
      <c r="G318" s="12"/>
      <c r="H318" s="11"/>
      <c r="I318" s="11"/>
      <c r="J318" s="11"/>
      <c r="K318" s="11"/>
      <c r="L318" s="11"/>
      <c r="M318" s="11"/>
      <c r="N318" s="11"/>
      <c r="O318" s="11"/>
      <c r="P318" s="12"/>
      <c r="Q318" s="13"/>
      <c r="R318" s="13"/>
    </row>
    <row r="319" ht="15" customHeight="1" s="4" customFormat="1">
      <c r="A319" s="9"/>
      <c r="B319" s="10"/>
      <c r="C319" s="11"/>
      <c r="D319" s="11"/>
      <c r="E319" s="9"/>
      <c r="F319" s="12"/>
      <c r="G319" s="12"/>
      <c r="H319" s="11"/>
      <c r="I319" s="11"/>
      <c r="J319" s="11"/>
      <c r="K319" s="11"/>
      <c r="L319" s="11"/>
      <c r="M319" s="11"/>
      <c r="N319" s="11"/>
      <c r="O319" s="11"/>
      <c r="P319" s="12"/>
      <c r="Q319" s="13"/>
      <c r="R319" s="13"/>
    </row>
    <row r="320" ht="15" customHeight="1" s="4" customFormat="1">
      <c r="A320" s="9"/>
      <c r="B320" s="10"/>
      <c r="C320" s="11"/>
      <c r="D320" s="11"/>
      <c r="E320" s="9"/>
      <c r="F320" s="12"/>
      <c r="G320" s="12"/>
      <c r="H320" s="11"/>
      <c r="I320" s="11"/>
      <c r="J320" s="11"/>
      <c r="K320" s="11"/>
      <c r="L320" s="11"/>
      <c r="M320" s="11"/>
      <c r="N320" s="11"/>
      <c r="O320" s="11"/>
      <c r="P320" s="12"/>
      <c r="Q320" s="13"/>
      <c r="R320" s="13"/>
    </row>
    <row r="321" ht="15" customHeight="1" s="4" customFormat="1">
      <c r="A321" s="9"/>
      <c r="B321" s="10"/>
      <c r="C321" s="11"/>
      <c r="D321" s="11"/>
      <c r="E321" s="9"/>
      <c r="F321" s="12"/>
      <c r="G321" s="12"/>
      <c r="H321" s="11"/>
      <c r="I321" s="11"/>
      <c r="J321" s="11"/>
      <c r="K321" s="11"/>
      <c r="L321" s="11"/>
      <c r="M321" s="11"/>
      <c r="N321" s="11"/>
      <c r="O321" s="11"/>
      <c r="P321" s="12"/>
      <c r="Q321" s="13"/>
      <c r="R321" s="13"/>
    </row>
    <row r="322" ht="15" customHeight="1" s="4" customFormat="1">
      <c r="A322" s="9"/>
      <c r="B322" s="10"/>
      <c r="C322" s="11"/>
      <c r="D322" s="11"/>
      <c r="E322" s="9"/>
      <c r="F322" s="12"/>
      <c r="G322" s="12"/>
      <c r="H322" s="11"/>
      <c r="I322" s="11"/>
      <c r="J322" s="11"/>
      <c r="K322" s="11"/>
      <c r="L322" s="11"/>
      <c r="M322" s="11"/>
      <c r="N322" s="11"/>
      <c r="O322" s="11"/>
      <c r="P322" s="12"/>
      <c r="Q322" s="13"/>
      <c r="R322" s="13"/>
    </row>
    <row r="323" ht="15" customHeight="1" s="4" customFormat="1">
      <c r="A323" s="9"/>
      <c r="B323" s="10"/>
      <c r="C323" s="11"/>
      <c r="D323" s="11"/>
      <c r="E323" s="9"/>
      <c r="F323" s="12"/>
      <c r="G323" s="12"/>
      <c r="H323" s="11"/>
      <c r="I323" s="11"/>
      <c r="J323" s="11"/>
      <c r="K323" s="11"/>
      <c r="L323" s="11"/>
      <c r="M323" s="11"/>
      <c r="N323" s="11"/>
      <c r="O323" s="11"/>
      <c r="P323" s="12"/>
      <c r="Q323" s="13"/>
      <c r="R323" s="13"/>
    </row>
    <row r="324" ht="15" customHeight="1" s="4" customFormat="1">
      <c r="A324" s="9"/>
      <c r="B324" s="10"/>
      <c r="C324" s="11"/>
      <c r="D324" s="11"/>
      <c r="E324" s="9"/>
      <c r="F324" s="12"/>
      <c r="G324" s="12"/>
      <c r="H324" s="11"/>
      <c r="I324" s="11"/>
      <c r="J324" s="11"/>
      <c r="K324" s="11"/>
      <c r="L324" s="11"/>
      <c r="M324" s="11"/>
      <c r="N324" s="11"/>
      <c r="O324" s="11"/>
      <c r="P324" s="12"/>
      <c r="Q324" s="13"/>
      <c r="R324" s="13"/>
    </row>
    <row r="325" ht="15" customHeight="1" s="4" customFormat="1">
      <c r="A325" s="9"/>
      <c r="B325" s="10"/>
      <c r="C325" s="11"/>
      <c r="D325" s="11"/>
      <c r="E325" s="9"/>
      <c r="F325" s="12"/>
      <c r="G325" s="12"/>
      <c r="H325" s="11"/>
      <c r="I325" s="11"/>
      <c r="J325" s="11"/>
      <c r="K325" s="11"/>
      <c r="L325" s="11"/>
      <c r="M325" s="11"/>
      <c r="N325" s="11"/>
      <c r="O325" s="11"/>
      <c r="P325" s="12"/>
      <c r="Q325" s="13"/>
      <c r="R325" s="13"/>
    </row>
    <row r="326" ht="15" customHeight="1" s="4" customFormat="1">
      <c r="A326" s="9"/>
      <c r="B326" s="10"/>
      <c r="C326" s="11"/>
      <c r="D326" s="11"/>
      <c r="E326" s="9"/>
      <c r="F326" s="12"/>
      <c r="G326" s="12"/>
      <c r="H326" s="11"/>
      <c r="I326" s="11"/>
      <c r="J326" s="11"/>
      <c r="K326" s="11"/>
      <c r="L326" s="11"/>
      <c r="M326" s="11"/>
      <c r="N326" s="11"/>
      <c r="O326" s="11"/>
      <c r="P326" s="12"/>
      <c r="Q326" s="13"/>
      <c r="R326" s="13"/>
    </row>
    <row r="327" ht="15" customHeight="1" s="4" customFormat="1">
      <c r="A327" s="9"/>
      <c r="B327" s="10"/>
      <c r="C327" s="11"/>
      <c r="D327" s="11"/>
      <c r="E327" s="9"/>
      <c r="F327" s="12"/>
      <c r="G327" s="12"/>
      <c r="H327" s="11"/>
      <c r="I327" s="11"/>
      <c r="J327" s="11"/>
      <c r="K327" s="11"/>
      <c r="L327" s="11"/>
      <c r="M327" s="11"/>
      <c r="N327" s="11"/>
      <c r="O327" s="11"/>
      <c r="P327" s="12"/>
      <c r="Q327" s="13"/>
      <c r="R327" s="13"/>
    </row>
    <row r="328" ht="15" customHeight="1" s="4" customFormat="1">
      <c r="A328" s="9"/>
      <c r="B328" s="10"/>
      <c r="C328" s="11"/>
      <c r="D328" s="11"/>
      <c r="E328" s="9"/>
      <c r="F328" s="12"/>
      <c r="G328" s="12"/>
      <c r="H328" s="11"/>
      <c r="I328" s="11"/>
      <c r="J328" s="11"/>
      <c r="K328" s="11"/>
      <c r="L328" s="11"/>
      <c r="M328" s="11"/>
      <c r="N328" s="11"/>
      <c r="O328" s="11"/>
      <c r="P328" s="12"/>
      <c r="Q328" s="13"/>
      <c r="R328" s="13"/>
    </row>
    <row r="329" ht="15" customHeight="1" s="4" customFormat="1">
      <c r="A329" s="9"/>
      <c r="B329" s="10"/>
      <c r="C329" s="11"/>
      <c r="D329" s="11"/>
      <c r="E329" s="9"/>
      <c r="F329" s="12"/>
      <c r="G329" s="12"/>
      <c r="H329" s="11"/>
      <c r="I329" s="11"/>
      <c r="J329" s="11"/>
      <c r="K329" s="11"/>
      <c r="L329" s="11"/>
      <c r="M329" s="11"/>
      <c r="N329" s="11"/>
      <c r="O329" s="11"/>
      <c r="P329" s="12"/>
      <c r="Q329" s="13"/>
      <c r="R329" s="13"/>
    </row>
    <row r="330" ht="15" customHeight="1" s="4" customFormat="1">
      <c r="A330" s="9"/>
      <c r="B330" s="10"/>
      <c r="C330" s="11"/>
      <c r="D330" s="11"/>
      <c r="E330" s="9"/>
      <c r="F330" s="12"/>
      <c r="G330" s="12"/>
      <c r="H330" s="11"/>
      <c r="I330" s="11"/>
      <c r="J330" s="11"/>
      <c r="K330" s="11"/>
      <c r="L330" s="11"/>
      <c r="M330" s="11"/>
      <c r="N330" s="11"/>
      <c r="O330" s="11"/>
      <c r="P330" s="12"/>
      <c r="Q330" s="13"/>
      <c r="R330" s="13"/>
    </row>
    <row r="331" ht="15" customHeight="1" s="4" customFormat="1">
      <c r="A331" s="9"/>
      <c r="B331" s="10"/>
      <c r="C331" s="11"/>
      <c r="D331" s="11"/>
      <c r="E331" s="9"/>
      <c r="F331" s="12"/>
      <c r="G331" s="12"/>
      <c r="H331" s="11"/>
      <c r="I331" s="11"/>
      <c r="J331" s="11"/>
      <c r="K331" s="11"/>
      <c r="L331" s="11"/>
      <c r="M331" s="11"/>
      <c r="N331" s="11"/>
      <c r="O331" s="11"/>
      <c r="P331" s="12"/>
      <c r="Q331" s="13"/>
      <c r="R331" s="13"/>
    </row>
    <row r="332" ht="15" customHeight="1" s="4" customFormat="1">
      <c r="A332" s="9"/>
      <c r="B332" s="10"/>
      <c r="C332" s="11"/>
      <c r="D332" s="11"/>
      <c r="E332" s="9"/>
      <c r="F332" s="12"/>
      <c r="G332" s="12"/>
      <c r="H332" s="11"/>
      <c r="I332" s="11"/>
      <c r="J332" s="11"/>
      <c r="K332" s="11"/>
      <c r="L332" s="11"/>
      <c r="M332" s="11"/>
      <c r="N332" s="11"/>
      <c r="O332" s="11"/>
      <c r="P332" s="12"/>
      <c r="Q332" s="13"/>
      <c r="R332" s="13"/>
    </row>
    <row r="333" ht="15" customHeight="1" s="4" customFormat="1">
      <c r="A333" s="9"/>
      <c r="B333" s="10"/>
      <c r="C333" s="11"/>
      <c r="D333" s="11"/>
      <c r="E333" s="9"/>
      <c r="F333" s="12"/>
      <c r="G333" s="12"/>
      <c r="H333" s="11"/>
      <c r="I333" s="11"/>
      <c r="J333" s="11"/>
      <c r="K333" s="11"/>
      <c r="L333" s="11"/>
      <c r="M333" s="11"/>
      <c r="N333" s="11"/>
      <c r="O333" s="11"/>
      <c r="P333" s="12"/>
      <c r="Q333" s="13"/>
      <c r="R333" s="13"/>
    </row>
    <row r="334" ht="15" customHeight="1" s="4" customFormat="1">
      <c r="A334" s="9"/>
      <c r="B334" s="10"/>
      <c r="C334" s="11"/>
      <c r="D334" s="11"/>
      <c r="E334" s="9"/>
      <c r="F334" s="12"/>
      <c r="G334" s="12"/>
      <c r="H334" s="11"/>
      <c r="I334" s="11"/>
      <c r="J334" s="11"/>
      <c r="K334" s="11"/>
      <c r="L334" s="11"/>
      <c r="M334" s="11"/>
      <c r="N334" s="11"/>
      <c r="O334" s="11"/>
      <c r="P334" s="12"/>
      <c r="Q334" s="13"/>
      <c r="R334" s="13"/>
    </row>
    <row r="335" ht="15" customHeight="1" s="4" customFormat="1">
      <c r="A335" s="9"/>
      <c r="B335" s="10"/>
      <c r="C335" s="11"/>
      <c r="D335" s="11"/>
      <c r="E335" s="9"/>
      <c r="F335" s="12"/>
      <c r="G335" s="12"/>
      <c r="H335" s="11"/>
      <c r="I335" s="11"/>
      <c r="J335" s="11"/>
      <c r="K335" s="11"/>
      <c r="L335" s="11"/>
      <c r="M335" s="11"/>
      <c r="N335" s="11"/>
      <c r="O335" s="11"/>
      <c r="P335" s="12"/>
      <c r="Q335" s="13"/>
      <c r="R335" s="13"/>
    </row>
    <row r="336" ht="15" customHeight="1" s="4" customFormat="1">
      <c r="A336" s="9"/>
      <c r="B336" s="10"/>
      <c r="C336" s="11"/>
      <c r="D336" s="11"/>
      <c r="E336" s="9"/>
      <c r="F336" s="12"/>
      <c r="G336" s="12"/>
      <c r="H336" s="11"/>
      <c r="I336" s="11"/>
      <c r="J336" s="11"/>
      <c r="K336" s="11"/>
      <c r="L336" s="11"/>
      <c r="M336" s="11"/>
      <c r="N336" s="11"/>
      <c r="O336" s="11"/>
      <c r="P336" s="12"/>
      <c r="Q336" s="13"/>
      <c r="R336" s="13"/>
    </row>
    <row r="337" ht="15" customHeight="1" s="4" customFormat="1">
      <c r="A337" s="9"/>
      <c r="B337" s="10"/>
      <c r="C337" s="11"/>
      <c r="D337" s="11"/>
      <c r="E337" s="9"/>
      <c r="F337" s="12"/>
      <c r="G337" s="12"/>
      <c r="H337" s="11"/>
      <c r="I337" s="11"/>
      <c r="J337" s="11"/>
      <c r="K337" s="11"/>
      <c r="L337" s="11"/>
      <c r="M337" s="11"/>
      <c r="N337" s="11"/>
      <c r="O337" s="11"/>
      <c r="P337" s="12"/>
      <c r="Q337" s="13"/>
      <c r="R337" s="13"/>
    </row>
    <row r="338" ht="15" customHeight="1" s="4" customFormat="1">
      <c r="A338" s="9"/>
      <c r="B338" s="10"/>
      <c r="C338" s="11"/>
      <c r="D338" s="11"/>
      <c r="E338" s="9"/>
      <c r="F338" s="12"/>
      <c r="G338" s="12"/>
      <c r="H338" s="11"/>
      <c r="I338" s="11"/>
      <c r="J338" s="11"/>
      <c r="K338" s="11"/>
      <c r="L338" s="11"/>
      <c r="M338" s="11"/>
      <c r="N338" s="11"/>
      <c r="O338" s="11"/>
      <c r="P338" s="12"/>
      <c r="Q338" s="13"/>
      <c r="R338" s="13"/>
    </row>
    <row r="339" ht="15" customHeight="1" s="4" customFormat="1">
      <c r="A339" s="9"/>
      <c r="B339" s="10"/>
      <c r="C339" s="11"/>
      <c r="D339" s="11"/>
      <c r="E339" s="9"/>
      <c r="F339" s="12"/>
      <c r="G339" s="12"/>
      <c r="H339" s="11"/>
      <c r="I339" s="11"/>
      <c r="J339" s="11"/>
      <c r="K339" s="11"/>
      <c r="L339" s="11"/>
      <c r="M339" s="11"/>
      <c r="N339" s="11"/>
      <c r="O339" s="11"/>
      <c r="P339" s="12"/>
      <c r="Q339" s="13"/>
      <c r="R339" s="13"/>
    </row>
    <row r="340" ht="15" customHeight="1" s="4" customFormat="1">
      <c r="A340" s="9"/>
      <c r="B340" s="10"/>
      <c r="C340" s="11"/>
      <c r="D340" s="11"/>
      <c r="E340" s="9"/>
      <c r="F340" s="12"/>
      <c r="G340" s="12"/>
      <c r="H340" s="11"/>
      <c r="I340" s="11"/>
      <c r="J340" s="11"/>
      <c r="K340" s="11"/>
      <c r="L340" s="11"/>
      <c r="M340" s="11"/>
      <c r="N340" s="11"/>
      <c r="O340" s="11"/>
      <c r="P340" s="12"/>
      <c r="Q340" s="13"/>
      <c r="R340" s="13"/>
    </row>
    <row r="341" ht="15" customHeight="1" s="4" customFormat="1">
      <c r="A341" s="9"/>
      <c r="B341" s="10"/>
      <c r="C341" s="11"/>
      <c r="D341" s="11"/>
      <c r="E341" s="9"/>
      <c r="F341" s="12"/>
      <c r="G341" s="12"/>
      <c r="H341" s="11"/>
      <c r="I341" s="11"/>
      <c r="J341" s="11"/>
      <c r="K341" s="11"/>
      <c r="L341" s="11"/>
      <c r="M341" s="11"/>
      <c r="N341" s="11"/>
      <c r="O341" s="11"/>
      <c r="P341" s="12"/>
      <c r="Q341" s="13"/>
      <c r="R341" s="13"/>
    </row>
    <row r="342" ht="15" customHeight="1" s="4" customFormat="1">
      <c r="A342" s="9"/>
      <c r="B342" s="10"/>
      <c r="C342" s="11"/>
      <c r="D342" s="11"/>
      <c r="E342" s="9"/>
      <c r="F342" s="12"/>
      <c r="G342" s="12"/>
      <c r="H342" s="11"/>
      <c r="I342" s="11"/>
      <c r="J342" s="11"/>
      <c r="K342" s="11"/>
      <c r="L342" s="11"/>
      <c r="M342" s="11"/>
      <c r="N342" s="11"/>
      <c r="O342" s="11"/>
      <c r="P342" s="12"/>
      <c r="Q342" s="13"/>
      <c r="R342" s="13"/>
    </row>
    <row r="343" ht="15" customHeight="1" s="4" customFormat="1">
      <c r="A343" s="9"/>
      <c r="B343" s="10"/>
      <c r="C343" s="11"/>
      <c r="D343" s="11"/>
      <c r="E343" s="9"/>
      <c r="F343" s="12"/>
      <c r="G343" s="12"/>
      <c r="H343" s="11"/>
      <c r="I343" s="11"/>
      <c r="J343" s="11"/>
      <c r="K343" s="11"/>
      <c r="L343" s="11"/>
      <c r="M343" s="11"/>
      <c r="N343" s="11"/>
      <c r="O343" s="11"/>
      <c r="P343" s="12"/>
      <c r="Q343" s="13"/>
      <c r="R343" s="13"/>
    </row>
    <row r="344" ht="15" customHeight="1" s="4" customFormat="1">
      <c r="A344" s="9"/>
      <c r="B344" s="10"/>
      <c r="C344" s="11"/>
      <c r="D344" s="11"/>
      <c r="E344" s="9"/>
      <c r="F344" s="12"/>
      <c r="G344" s="12"/>
      <c r="H344" s="11"/>
      <c r="I344" s="11"/>
      <c r="J344" s="11"/>
      <c r="K344" s="11"/>
      <c r="L344" s="11"/>
      <c r="M344" s="11"/>
      <c r="N344" s="11"/>
      <c r="O344" s="11"/>
      <c r="P344" s="12"/>
      <c r="Q344" s="13"/>
      <c r="R344" s="13"/>
    </row>
    <row r="345" ht="15" customHeight="1" s="4" customFormat="1">
      <c r="A345" s="9"/>
      <c r="B345" s="10"/>
      <c r="C345" s="11"/>
      <c r="D345" s="11"/>
      <c r="E345" s="9"/>
      <c r="F345" s="12"/>
      <c r="G345" s="12"/>
      <c r="H345" s="11"/>
      <c r="I345" s="11"/>
      <c r="J345" s="11"/>
      <c r="K345" s="11"/>
      <c r="L345" s="11"/>
      <c r="M345" s="11"/>
      <c r="N345" s="11"/>
      <c r="O345" s="11"/>
      <c r="P345" s="12"/>
      <c r="Q345" s="13"/>
      <c r="R345" s="13"/>
    </row>
    <row r="346" ht="15" customHeight="1" s="4" customFormat="1">
      <c r="A346" s="9"/>
      <c r="B346" s="10"/>
      <c r="C346" s="11"/>
      <c r="D346" s="11"/>
      <c r="E346" s="9"/>
      <c r="F346" s="12"/>
      <c r="G346" s="12"/>
      <c r="H346" s="11"/>
      <c r="I346" s="11"/>
      <c r="J346" s="11"/>
      <c r="K346" s="11"/>
      <c r="L346" s="11"/>
      <c r="M346" s="11"/>
      <c r="N346" s="11"/>
      <c r="O346" s="11"/>
      <c r="P346" s="12"/>
      <c r="Q346" s="13"/>
      <c r="R346" s="13"/>
    </row>
    <row r="347" ht="15" customHeight="1" s="4" customFormat="1">
      <c r="A347" s="9"/>
      <c r="B347" s="10"/>
      <c r="C347" s="11"/>
      <c r="D347" s="11"/>
      <c r="E347" s="9"/>
      <c r="F347" s="12"/>
      <c r="G347" s="12"/>
      <c r="H347" s="11"/>
      <c r="I347" s="11"/>
      <c r="J347" s="11"/>
      <c r="K347" s="11"/>
      <c r="L347" s="11"/>
      <c r="M347" s="11"/>
      <c r="N347" s="11"/>
      <c r="O347" s="11"/>
      <c r="P347" s="12"/>
      <c r="Q347" s="13"/>
      <c r="R347" s="13"/>
    </row>
    <row r="348" ht="15" customHeight="1" s="4" customFormat="1">
      <c r="A348" s="9"/>
      <c r="B348" s="10"/>
      <c r="C348" s="11"/>
      <c r="D348" s="11"/>
      <c r="E348" s="9"/>
      <c r="F348" s="12"/>
      <c r="G348" s="12"/>
      <c r="H348" s="11"/>
      <c r="I348" s="11"/>
      <c r="J348" s="11"/>
      <c r="K348" s="11"/>
      <c r="L348" s="11"/>
      <c r="M348" s="11"/>
      <c r="N348" s="11"/>
      <c r="O348" s="11"/>
      <c r="P348" s="12"/>
      <c r="Q348" s="13"/>
      <c r="R348" s="13"/>
    </row>
    <row r="349" ht="15" customHeight="1" s="4" customFormat="1">
      <c r="A349" s="9"/>
      <c r="B349" s="10"/>
      <c r="C349" s="11"/>
      <c r="D349" s="11"/>
      <c r="E349" s="9"/>
      <c r="F349" s="12"/>
      <c r="G349" s="12"/>
      <c r="H349" s="11"/>
      <c r="I349" s="11"/>
      <c r="J349" s="11"/>
      <c r="K349" s="11"/>
      <c r="L349" s="11"/>
      <c r="M349" s="11"/>
      <c r="N349" s="11"/>
      <c r="O349" s="11"/>
      <c r="P349" s="12"/>
      <c r="Q349" s="13"/>
      <c r="R349" s="13"/>
    </row>
    <row r="350" ht="15" customHeight="1" s="4" customFormat="1">
      <c r="A350" s="9"/>
      <c r="B350" s="10"/>
      <c r="C350" s="11"/>
      <c r="D350" s="11"/>
      <c r="E350" s="9"/>
      <c r="F350" s="12"/>
      <c r="G350" s="12"/>
      <c r="H350" s="11"/>
      <c r="I350" s="11"/>
      <c r="J350" s="11"/>
      <c r="K350" s="11"/>
      <c r="L350" s="11"/>
      <c r="M350" s="11"/>
      <c r="N350" s="11"/>
      <c r="O350" s="11"/>
      <c r="P350" s="12"/>
      <c r="Q350" s="13"/>
      <c r="R350" s="13"/>
    </row>
    <row r="351" ht="15" customHeight="1" s="4" customFormat="1">
      <c r="A351" s="9"/>
      <c r="B351" s="10"/>
      <c r="C351" s="11"/>
      <c r="D351" s="11"/>
      <c r="E351" s="9"/>
      <c r="F351" s="12"/>
      <c r="G351" s="12"/>
      <c r="H351" s="11"/>
      <c r="I351" s="11"/>
      <c r="J351" s="11"/>
      <c r="K351" s="11"/>
      <c r="L351" s="11"/>
      <c r="M351" s="11"/>
      <c r="N351" s="11"/>
      <c r="O351" s="11"/>
      <c r="P351" s="12"/>
      <c r="Q351" s="13"/>
      <c r="R351" s="13"/>
    </row>
    <row r="352" ht="15" customHeight="1" s="4" customFormat="1">
      <c r="A352" s="9"/>
      <c r="B352" s="10"/>
      <c r="C352" s="11"/>
      <c r="D352" s="11"/>
      <c r="E352" s="9"/>
      <c r="F352" s="12"/>
      <c r="G352" s="12"/>
      <c r="H352" s="11"/>
      <c r="I352" s="11"/>
      <c r="J352" s="11"/>
      <c r="K352" s="11"/>
      <c r="L352" s="11"/>
      <c r="M352" s="11"/>
      <c r="N352" s="11"/>
      <c r="O352" s="11"/>
      <c r="P352" s="12"/>
      <c r="Q352" s="13"/>
      <c r="R352" s="13"/>
    </row>
    <row r="353" ht="15" customHeight="1" s="4" customFormat="1">
      <c r="A353" s="9"/>
      <c r="B353" s="10"/>
      <c r="C353" s="11"/>
      <c r="D353" s="11"/>
      <c r="E353" s="9"/>
      <c r="F353" s="12"/>
      <c r="G353" s="12"/>
      <c r="H353" s="11"/>
      <c r="I353" s="11"/>
      <c r="J353" s="11"/>
      <c r="K353" s="11"/>
      <c r="L353" s="11"/>
      <c r="M353" s="11"/>
      <c r="N353" s="11"/>
      <c r="O353" s="11"/>
      <c r="P353" s="12"/>
      <c r="Q353" s="13"/>
      <c r="R353" s="13"/>
    </row>
    <row r="354" ht="15" customHeight="1" s="4" customFormat="1">
      <c r="A354" s="9"/>
      <c r="B354" s="10"/>
      <c r="C354" s="11"/>
      <c r="D354" s="11"/>
      <c r="E354" s="9"/>
      <c r="F354" s="12"/>
      <c r="G354" s="12"/>
      <c r="H354" s="11"/>
      <c r="I354" s="11"/>
      <c r="J354" s="11"/>
      <c r="K354" s="11"/>
      <c r="L354" s="11"/>
      <c r="M354" s="11"/>
      <c r="N354" s="11"/>
      <c r="O354" s="11"/>
      <c r="P354" s="12"/>
      <c r="Q354" s="13"/>
      <c r="R354" s="13"/>
    </row>
    <row r="355" ht="15" customHeight="1" s="4" customFormat="1">
      <c r="A355" s="9"/>
      <c r="B355" s="10"/>
      <c r="C355" s="11"/>
      <c r="D355" s="11"/>
      <c r="E355" s="9"/>
      <c r="F355" s="12"/>
      <c r="G355" s="12"/>
      <c r="H355" s="11"/>
      <c r="I355" s="11"/>
      <c r="J355" s="11"/>
      <c r="K355" s="11"/>
      <c r="L355" s="11"/>
      <c r="M355" s="11"/>
      <c r="N355" s="11"/>
      <c r="O355" s="11"/>
      <c r="P355" s="12"/>
      <c r="Q355" s="13"/>
      <c r="R355" s="13"/>
    </row>
    <row r="356" ht="15" customHeight="1" s="4" customFormat="1">
      <c r="A356" s="9"/>
      <c r="B356" s="10"/>
      <c r="C356" s="11"/>
      <c r="D356" s="11"/>
      <c r="E356" s="9"/>
      <c r="F356" s="12"/>
      <c r="G356" s="12"/>
      <c r="H356" s="11"/>
      <c r="I356" s="11"/>
      <c r="J356" s="11"/>
      <c r="K356" s="11"/>
      <c r="L356" s="11"/>
      <c r="M356" s="11"/>
      <c r="N356" s="11"/>
      <c r="O356" s="11"/>
      <c r="P356" s="12"/>
      <c r="Q356" s="13"/>
      <c r="R356" s="13"/>
    </row>
    <row r="357" ht="15" customHeight="1" s="4" customFormat="1">
      <c r="A357" s="9"/>
      <c r="B357" s="10"/>
      <c r="C357" s="11"/>
      <c r="D357" s="11"/>
      <c r="E357" s="9"/>
      <c r="F357" s="12"/>
      <c r="G357" s="12"/>
      <c r="H357" s="11"/>
      <c r="I357" s="11"/>
      <c r="J357" s="11"/>
      <c r="K357" s="11"/>
      <c r="L357" s="11"/>
      <c r="M357" s="11"/>
      <c r="N357" s="11"/>
      <c r="O357" s="11"/>
      <c r="P357" s="12"/>
      <c r="Q357" s="13"/>
      <c r="R357" s="13"/>
    </row>
    <row r="358" ht="15" customHeight="1" s="4" customFormat="1">
      <c r="A358" s="9"/>
      <c r="B358" s="10"/>
      <c r="C358" s="11"/>
      <c r="D358" s="11"/>
      <c r="E358" s="9"/>
      <c r="F358" s="12"/>
      <c r="G358" s="12"/>
      <c r="H358" s="11"/>
      <c r="I358" s="11"/>
      <c r="J358" s="11"/>
      <c r="K358" s="11"/>
      <c r="L358" s="11"/>
      <c r="M358" s="11"/>
      <c r="N358" s="11"/>
      <c r="O358" s="11"/>
      <c r="P358" s="12"/>
      <c r="Q358" s="13"/>
      <c r="R358" s="13"/>
    </row>
    <row r="359" ht="15" customHeight="1" s="4" customFormat="1">
      <c r="A359" s="9"/>
      <c r="B359" s="10"/>
      <c r="C359" s="11"/>
      <c r="D359" s="11"/>
      <c r="E359" s="9"/>
      <c r="F359" s="12"/>
      <c r="G359" s="12"/>
      <c r="H359" s="11"/>
      <c r="I359" s="11"/>
      <c r="J359" s="11"/>
      <c r="K359" s="11"/>
      <c r="L359" s="11"/>
      <c r="M359" s="11"/>
      <c r="N359" s="11"/>
      <c r="O359" s="11"/>
      <c r="P359" s="12"/>
      <c r="Q359" s="13"/>
      <c r="R359" s="13"/>
    </row>
    <row r="360" ht="15" customHeight="1" s="4" customFormat="1">
      <c r="A360" s="9"/>
      <c r="B360" s="10"/>
      <c r="C360" s="11"/>
      <c r="D360" s="11"/>
      <c r="E360" s="9"/>
      <c r="F360" s="12"/>
      <c r="G360" s="12"/>
      <c r="H360" s="11"/>
      <c r="I360" s="11"/>
      <c r="J360" s="11"/>
      <c r="K360" s="11"/>
      <c r="L360" s="11"/>
      <c r="M360" s="11"/>
      <c r="N360" s="11"/>
      <c r="O360" s="11"/>
      <c r="P360" s="12"/>
      <c r="Q360" s="13"/>
      <c r="R360" s="13"/>
    </row>
    <row r="361" ht="15" customHeight="1" s="4" customFormat="1">
      <c r="A361" s="9"/>
      <c r="B361" s="10"/>
      <c r="C361" s="11"/>
      <c r="D361" s="11"/>
      <c r="E361" s="9"/>
      <c r="F361" s="12"/>
      <c r="G361" s="12"/>
      <c r="H361" s="11"/>
      <c r="I361" s="11"/>
      <c r="J361" s="11"/>
      <c r="K361" s="11"/>
      <c r="L361" s="11"/>
      <c r="M361" s="11"/>
      <c r="N361" s="11"/>
      <c r="O361" s="11"/>
      <c r="P361" s="12"/>
      <c r="Q361" s="13"/>
      <c r="R361" s="13"/>
    </row>
    <row r="362" ht="15" customHeight="1" s="4" customFormat="1">
      <c r="A362" s="9"/>
      <c r="B362" s="10"/>
      <c r="C362" s="11"/>
      <c r="D362" s="11"/>
      <c r="E362" s="9"/>
      <c r="F362" s="12"/>
      <c r="G362" s="12"/>
      <c r="H362" s="11"/>
      <c r="I362" s="11"/>
      <c r="J362" s="11"/>
      <c r="K362" s="11"/>
      <c r="L362" s="11"/>
      <c r="M362" s="11"/>
      <c r="N362" s="11"/>
      <c r="O362" s="11"/>
      <c r="P362" s="12"/>
      <c r="Q362" s="13"/>
      <c r="R362" s="13"/>
    </row>
    <row r="363" ht="15" customHeight="1" s="4" customFormat="1">
      <c r="A363" s="9"/>
      <c r="B363" s="10"/>
      <c r="C363" s="11"/>
      <c r="D363" s="11"/>
      <c r="E363" s="9"/>
      <c r="F363" s="12"/>
      <c r="G363" s="12"/>
      <c r="H363" s="11"/>
      <c r="I363" s="11"/>
      <c r="J363" s="11"/>
      <c r="K363" s="11"/>
      <c r="L363" s="11"/>
      <c r="M363" s="11"/>
      <c r="N363" s="11"/>
      <c r="O363" s="11"/>
      <c r="P363" s="12"/>
      <c r="Q363" s="13"/>
      <c r="R363" s="13"/>
    </row>
    <row r="364" ht="15" customHeight="1" s="4" customFormat="1">
      <c r="A364" s="9"/>
      <c r="B364" s="10"/>
      <c r="C364" s="11"/>
      <c r="D364" s="11"/>
      <c r="E364" s="9"/>
      <c r="F364" s="12"/>
      <c r="G364" s="12"/>
      <c r="H364" s="11"/>
      <c r="I364" s="11"/>
      <c r="J364" s="11"/>
      <c r="K364" s="11"/>
      <c r="L364" s="11"/>
      <c r="M364" s="11"/>
      <c r="N364" s="11"/>
      <c r="O364" s="11"/>
      <c r="P364" s="12"/>
      <c r="Q364" s="13"/>
      <c r="R364" s="13"/>
    </row>
    <row r="365" ht="15" customHeight="1" s="4" customFormat="1">
      <c r="A365" s="9"/>
      <c r="B365" s="10"/>
      <c r="C365" s="11"/>
      <c r="D365" s="11"/>
      <c r="E365" s="9"/>
      <c r="F365" s="12"/>
      <c r="G365" s="12"/>
      <c r="H365" s="11"/>
      <c r="I365" s="11"/>
      <c r="J365" s="11"/>
      <c r="K365" s="11"/>
      <c r="L365" s="11"/>
      <c r="M365" s="11"/>
      <c r="N365" s="11"/>
      <c r="O365" s="11"/>
      <c r="P365" s="12"/>
      <c r="Q365" s="13"/>
      <c r="R365" s="13"/>
    </row>
    <row r="366" ht="15" customHeight="1" s="4" customFormat="1">
      <c r="A366" s="9"/>
      <c r="B366" s="10"/>
      <c r="C366" s="11"/>
      <c r="D366" s="11"/>
      <c r="E366" s="9"/>
      <c r="F366" s="12"/>
      <c r="G366" s="12"/>
      <c r="H366" s="11"/>
      <c r="I366" s="11"/>
      <c r="J366" s="11"/>
      <c r="K366" s="11"/>
      <c r="L366" s="11"/>
      <c r="M366" s="11"/>
      <c r="N366" s="11"/>
      <c r="O366" s="11"/>
      <c r="P366" s="12"/>
      <c r="Q366" s="13"/>
      <c r="R366" s="13"/>
    </row>
    <row r="367" ht="15" customHeight="1" s="4" customFormat="1">
      <c r="A367" s="9"/>
      <c r="B367" s="10"/>
      <c r="C367" s="11"/>
      <c r="D367" s="11"/>
      <c r="E367" s="9"/>
      <c r="F367" s="12"/>
      <c r="G367" s="12"/>
      <c r="H367" s="11"/>
      <c r="I367" s="11"/>
      <c r="J367" s="11"/>
      <c r="K367" s="11"/>
      <c r="L367" s="11"/>
      <c r="M367" s="11"/>
      <c r="N367" s="11"/>
      <c r="O367" s="11"/>
      <c r="P367" s="12"/>
      <c r="Q367" s="13"/>
      <c r="R367" s="13"/>
    </row>
    <row r="368" ht="15" customHeight="1" s="4" customFormat="1">
      <c r="A368" s="9"/>
      <c r="B368" s="10"/>
      <c r="C368" s="11"/>
      <c r="D368" s="11"/>
      <c r="E368" s="9"/>
      <c r="F368" s="12"/>
      <c r="G368" s="12"/>
      <c r="H368" s="11"/>
      <c r="I368" s="11"/>
      <c r="J368" s="11"/>
      <c r="K368" s="11"/>
      <c r="L368" s="11"/>
      <c r="M368" s="11"/>
      <c r="N368" s="11"/>
      <c r="O368" s="11"/>
      <c r="P368" s="12"/>
      <c r="Q368" s="13"/>
      <c r="R368" s="13"/>
    </row>
    <row r="369" ht="15" customHeight="1" s="4" customFormat="1">
      <c r="A369" s="9"/>
      <c r="B369" s="10"/>
      <c r="C369" s="11"/>
      <c r="D369" s="11"/>
      <c r="E369" s="9"/>
      <c r="F369" s="12"/>
      <c r="G369" s="12"/>
      <c r="H369" s="11"/>
      <c r="I369" s="11"/>
      <c r="J369" s="11"/>
      <c r="K369" s="11"/>
      <c r="L369" s="11"/>
      <c r="M369" s="11"/>
      <c r="N369" s="11"/>
      <c r="O369" s="11"/>
      <c r="P369" s="12"/>
      <c r="Q369" s="13"/>
      <c r="R369" s="13"/>
    </row>
    <row r="370" ht="15" customHeight="1" s="4" customFormat="1">
      <c r="A370" s="9"/>
      <c r="B370" s="10"/>
      <c r="C370" s="11"/>
      <c r="D370" s="11"/>
      <c r="E370" s="9"/>
      <c r="F370" s="12"/>
      <c r="G370" s="12"/>
      <c r="H370" s="11"/>
      <c r="I370" s="11"/>
      <c r="J370" s="11"/>
      <c r="K370" s="11"/>
      <c r="L370" s="11"/>
      <c r="M370" s="11"/>
      <c r="N370" s="11"/>
      <c r="O370" s="11"/>
      <c r="P370" s="12"/>
      <c r="Q370" s="13"/>
      <c r="R370" s="13"/>
    </row>
    <row r="371" ht="15" customHeight="1" s="4" customFormat="1">
      <c r="A371" s="9"/>
      <c r="B371" s="10"/>
      <c r="C371" s="11"/>
      <c r="D371" s="11"/>
      <c r="E371" s="9"/>
      <c r="F371" s="12"/>
      <c r="G371" s="12"/>
      <c r="H371" s="11"/>
      <c r="I371" s="11"/>
      <c r="J371" s="11"/>
      <c r="K371" s="11"/>
      <c r="L371" s="11"/>
      <c r="M371" s="11"/>
      <c r="N371" s="11"/>
      <c r="O371" s="11"/>
      <c r="P371" s="12"/>
      <c r="Q371" s="13"/>
      <c r="R371" s="13"/>
    </row>
    <row r="372" ht="15" customHeight="1" s="4" customFormat="1">
      <c r="A372" s="9"/>
      <c r="B372" s="10"/>
      <c r="C372" s="11"/>
      <c r="D372" s="11"/>
      <c r="E372" s="9"/>
      <c r="F372" s="12"/>
      <c r="G372" s="12"/>
      <c r="H372" s="11"/>
      <c r="I372" s="11"/>
      <c r="J372" s="11"/>
      <c r="K372" s="11"/>
      <c r="L372" s="11"/>
      <c r="M372" s="11"/>
      <c r="N372" s="11"/>
      <c r="O372" s="11"/>
      <c r="P372" s="12"/>
      <c r="Q372" s="13"/>
      <c r="R372" s="13"/>
    </row>
    <row r="373" ht="15" customHeight="1" s="4" customFormat="1">
      <c r="A373" s="9"/>
      <c r="B373" s="10"/>
      <c r="C373" s="11"/>
      <c r="D373" s="11"/>
      <c r="E373" s="9"/>
      <c r="F373" s="12"/>
      <c r="G373" s="12"/>
      <c r="H373" s="11"/>
      <c r="I373" s="11"/>
      <c r="J373" s="11"/>
      <c r="K373" s="11"/>
      <c r="L373" s="11"/>
      <c r="M373" s="11"/>
      <c r="N373" s="11"/>
      <c r="O373" s="11"/>
      <c r="P373" s="12"/>
      <c r="Q373" s="13"/>
      <c r="R373" s="13"/>
    </row>
    <row r="374" ht="15" customHeight="1" s="4" customFormat="1">
      <c r="A374" s="9"/>
      <c r="B374" s="10"/>
      <c r="C374" s="11"/>
      <c r="D374" s="11"/>
      <c r="E374" s="9"/>
      <c r="F374" s="12"/>
      <c r="G374" s="12"/>
      <c r="H374" s="11"/>
      <c r="I374" s="11"/>
      <c r="J374" s="11"/>
      <c r="K374" s="11"/>
      <c r="L374" s="11"/>
      <c r="M374" s="11"/>
      <c r="N374" s="11"/>
      <c r="O374" s="11"/>
      <c r="P374" s="12"/>
      <c r="Q374" s="13"/>
      <c r="R374" s="13"/>
    </row>
    <row r="375" ht="15" customHeight="1" s="4" customFormat="1">
      <c r="A375" s="9"/>
      <c r="B375" s="10"/>
      <c r="C375" s="11"/>
      <c r="D375" s="11"/>
      <c r="E375" s="9"/>
      <c r="F375" s="12"/>
      <c r="G375" s="12"/>
      <c r="H375" s="11"/>
      <c r="I375" s="11"/>
      <c r="J375" s="11"/>
      <c r="K375" s="11"/>
      <c r="L375" s="11"/>
      <c r="M375" s="11"/>
      <c r="N375" s="11"/>
      <c r="O375" s="11"/>
      <c r="P375" s="12"/>
      <c r="Q375" s="13"/>
      <c r="R375" s="13"/>
    </row>
    <row r="376" ht="15" customHeight="1" s="4" customFormat="1">
      <c r="A376" s="9"/>
      <c r="B376" s="10"/>
      <c r="C376" s="11"/>
      <c r="D376" s="11"/>
      <c r="E376" s="9"/>
      <c r="F376" s="12"/>
      <c r="G376" s="12"/>
      <c r="H376" s="11"/>
      <c r="I376" s="11"/>
      <c r="J376" s="11"/>
      <c r="K376" s="11"/>
      <c r="L376" s="11"/>
      <c r="M376" s="11"/>
      <c r="N376" s="11"/>
      <c r="O376" s="11"/>
      <c r="P376" s="12"/>
      <c r="Q376" s="13"/>
      <c r="R376" s="13"/>
    </row>
    <row r="377" ht="15" customHeight="1" s="4" customFormat="1">
      <c r="A377" s="9"/>
      <c r="B377" s="10"/>
      <c r="C377" s="11"/>
      <c r="D377" s="11"/>
      <c r="E377" s="9"/>
      <c r="F377" s="12"/>
      <c r="G377" s="12"/>
      <c r="H377" s="11"/>
      <c r="I377" s="11"/>
      <c r="J377" s="11"/>
      <c r="K377" s="11"/>
      <c r="L377" s="11"/>
      <c r="M377" s="11"/>
      <c r="N377" s="11"/>
      <c r="O377" s="11"/>
      <c r="P377" s="12"/>
      <c r="Q377" s="13"/>
      <c r="R377" s="13"/>
    </row>
    <row r="378" ht="15" customHeight="1" s="4" customFormat="1">
      <c r="A378" s="9"/>
      <c r="B378" s="10"/>
      <c r="C378" s="11"/>
      <c r="D378" s="11"/>
      <c r="E378" s="9"/>
      <c r="F378" s="12"/>
      <c r="G378" s="12"/>
      <c r="H378" s="11"/>
      <c r="I378" s="11"/>
      <c r="J378" s="11"/>
      <c r="K378" s="11"/>
      <c r="L378" s="11"/>
      <c r="M378" s="11"/>
      <c r="N378" s="11"/>
      <c r="O378" s="11"/>
      <c r="P378" s="12"/>
      <c r="Q378" s="13"/>
      <c r="R378" s="13"/>
    </row>
    <row r="379" ht="15" customHeight="1" s="4" customFormat="1">
      <c r="A379" s="9"/>
      <c r="B379" s="10"/>
      <c r="C379" s="11"/>
      <c r="D379" s="11"/>
      <c r="E379" s="9"/>
      <c r="F379" s="12"/>
      <c r="G379" s="12"/>
      <c r="H379" s="11"/>
      <c r="I379" s="11"/>
      <c r="J379" s="11"/>
      <c r="K379" s="11"/>
      <c r="L379" s="11"/>
      <c r="M379" s="11"/>
      <c r="N379" s="11"/>
      <c r="O379" s="11"/>
      <c r="P379" s="12"/>
      <c r="Q379" s="13"/>
      <c r="R379" s="13"/>
    </row>
    <row r="380" ht="15" customHeight="1" s="4" customFormat="1">
      <c r="A380" s="9"/>
      <c r="B380" s="10"/>
      <c r="C380" s="11"/>
      <c r="D380" s="11"/>
      <c r="E380" s="9"/>
      <c r="F380" s="12"/>
      <c r="G380" s="12"/>
      <c r="H380" s="11"/>
      <c r="I380" s="11"/>
      <c r="J380" s="11"/>
      <c r="K380" s="11"/>
      <c r="L380" s="11"/>
      <c r="M380" s="11"/>
      <c r="N380" s="11"/>
      <c r="O380" s="11"/>
      <c r="P380" s="12"/>
      <c r="Q380" s="13"/>
      <c r="R380" s="13"/>
    </row>
    <row r="381" ht="15" customHeight="1" s="4" customFormat="1">
      <c r="A381" s="9"/>
      <c r="B381" s="10"/>
      <c r="C381" s="11"/>
      <c r="D381" s="11"/>
      <c r="E381" s="9"/>
      <c r="F381" s="12"/>
      <c r="G381" s="12"/>
      <c r="H381" s="11"/>
      <c r="I381" s="11"/>
      <c r="J381" s="11"/>
      <c r="K381" s="11"/>
      <c r="L381" s="11"/>
      <c r="M381" s="11"/>
      <c r="N381" s="11"/>
      <c r="O381" s="11"/>
      <c r="P381" s="12"/>
      <c r="Q381" s="13"/>
      <c r="R381" s="13"/>
    </row>
    <row r="382" ht="15" customHeight="1" s="4" customFormat="1">
      <c r="A382" s="9"/>
      <c r="B382" s="10"/>
      <c r="C382" s="11"/>
      <c r="D382" s="11"/>
      <c r="E382" s="9"/>
      <c r="F382" s="12"/>
      <c r="G382" s="12"/>
      <c r="H382" s="11"/>
      <c r="I382" s="11"/>
      <c r="J382" s="11"/>
      <c r="K382" s="11"/>
      <c r="L382" s="11"/>
      <c r="M382" s="11"/>
      <c r="N382" s="11"/>
      <c r="O382" s="11"/>
      <c r="P382" s="12"/>
      <c r="Q382" s="13"/>
      <c r="R382" s="13"/>
    </row>
    <row r="383" ht="15" customHeight="1" s="4" customFormat="1">
      <c r="A383" s="9"/>
      <c r="B383" s="10"/>
      <c r="C383" s="11"/>
      <c r="D383" s="11"/>
      <c r="E383" s="9"/>
      <c r="F383" s="12"/>
      <c r="G383" s="12"/>
      <c r="H383" s="11"/>
      <c r="I383" s="11"/>
      <c r="J383" s="11"/>
      <c r="K383" s="11"/>
      <c r="L383" s="11"/>
      <c r="M383" s="11"/>
      <c r="N383" s="11"/>
      <c r="O383" s="11"/>
      <c r="P383" s="12"/>
      <c r="Q383" s="13"/>
      <c r="R383" s="13"/>
    </row>
    <row r="384" ht="15" customHeight="1" s="4" customFormat="1">
      <c r="A384" s="9"/>
      <c r="B384" s="10"/>
      <c r="C384" s="11"/>
      <c r="D384" s="11"/>
      <c r="E384" s="9"/>
      <c r="F384" s="12"/>
      <c r="G384" s="12"/>
      <c r="H384" s="11"/>
      <c r="I384" s="11"/>
      <c r="J384" s="11"/>
      <c r="K384" s="11"/>
      <c r="L384" s="11"/>
      <c r="M384" s="11"/>
      <c r="N384" s="11"/>
      <c r="O384" s="11"/>
      <c r="P384" s="12"/>
      <c r="Q384" s="13"/>
      <c r="R384" s="13"/>
    </row>
    <row r="385" ht="15" customHeight="1" s="4" customFormat="1">
      <c r="A385" s="9"/>
      <c r="B385" s="10"/>
      <c r="C385" s="11"/>
      <c r="D385" s="11"/>
      <c r="E385" s="9"/>
      <c r="F385" s="12"/>
      <c r="G385" s="12"/>
      <c r="H385" s="11"/>
      <c r="I385" s="11"/>
      <c r="J385" s="11"/>
      <c r="K385" s="11"/>
      <c r="L385" s="11"/>
      <c r="M385" s="11"/>
      <c r="N385" s="11"/>
      <c r="O385" s="11"/>
      <c r="P385" s="12"/>
      <c r="Q385" s="13"/>
      <c r="R385" s="13"/>
    </row>
    <row r="386" ht="15" customHeight="1" s="4" customFormat="1">
      <c r="A386" s="9"/>
      <c r="B386" s="10"/>
      <c r="C386" s="11"/>
      <c r="D386" s="11"/>
      <c r="E386" s="9"/>
      <c r="F386" s="12"/>
      <c r="G386" s="12"/>
      <c r="H386" s="11"/>
      <c r="I386" s="11"/>
      <c r="J386" s="11"/>
      <c r="K386" s="11"/>
      <c r="L386" s="11"/>
      <c r="M386" s="11"/>
      <c r="N386" s="11"/>
      <c r="O386" s="11"/>
      <c r="P386" s="12"/>
      <c r="Q386" s="13"/>
      <c r="R386" s="13"/>
    </row>
    <row r="387" ht="15" customHeight="1" s="4" customFormat="1">
      <c r="A387" s="9"/>
      <c r="B387" s="10"/>
      <c r="C387" s="11"/>
      <c r="D387" s="11"/>
      <c r="E387" s="9"/>
      <c r="F387" s="12"/>
      <c r="G387" s="12"/>
      <c r="H387" s="11"/>
      <c r="I387" s="11"/>
      <c r="J387" s="11"/>
      <c r="K387" s="11"/>
      <c r="L387" s="11"/>
      <c r="M387" s="11"/>
      <c r="N387" s="11"/>
      <c r="O387" s="11"/>
      <c r="P387" s="12"/>
      <c r="Q387" s="13"/>
      <c r="R387" s="13"/>
    </row>
    <row r="388" ht="15" customHeight="1" s="4" customFormat="1">
      <c r="A388" s="9"/>
      <c r="B388" s="10"/>
      <c r="C388" s="11"/>
      <c r="D388" s="11"/>
      <c r="E388" s="9"/>
      <c r="F388" s="12"/>
      <c r="G388" s="12"/>
      <c r="H388" s="11"/>
      <c r="I388" s="11"/>
      <c r="J388" s="11"/>
      <c r="K388" s="11"/>
      <c r="L388" s="11"/>
      <c r="M388" s="11"/>
      <c r="N388" s="11"/>
      <c r="O388" s="11"/>
      <c r="P388" s="12"/>
      <c r="Q388" s="13"/>
      <c r="R388" s="13"/>
    </row>
    <row r="389" ht="15" customHeight="1" s="4" customFormat="1">
      <c r="A389" s="9"/>
      <c r="B389" s="10"/>
      <c r="C389" s="11"/>
      <c r="D389" s="11"/>
      <c r="E389" s="9"/>
      <c r="F389" s="12"/>
      <c r="G389" s="12"/>
      <c r="H389" s="11"/>
      <c r="I389" s="11"/>
      <c r="J389" s="11"/>
      <c r="K389" s="11"/>
      <c r="L389" s="11"/>
      <c r="M389" s="11"/>
      <c r="N389" s="11"/>
      <c r="O389" s="11"/>
      <c r="P389" s="12"/>
      <c r="Q389" s="13"/>
      <c r="R389" s="13"/>
    </row>
    <row r="390" ht="15" customHeight="1" s="4" customFormat="1">
      <c r="A390" s="9"/>
      <c r="B390" s="10"/>
      <c r="C390" s="11"/>
      <c r="D390" s="11"/>
      <c r="E390" s="9"/>
      <c r="F390" s="12"/>
      <c r="G390" s="12"/>
      <c r="H390" s="11"/>
      <c r="I390" s="11"/>
      <c r="J390" s="11"/>
      <c r="K390" s="11"/>
      <c r="L390" s="11"/>
      <c r="M390" s="11"/>
      <c r="N390" s="11"/>
      <c r="O390" s="11"/>
      <c r="P390" s="12"/>
      <c r="Q390" s="13"/>
      <c r="R390" s="13"/>
    </row>
    <row r="391" ht="15" customHeight="1" s="4" customFormat="1">
      <c r="A391" s="9"/>
      <c r="B391" s="10"/>
      <c r="C391" s="11"/>
      <c r="D391" s="11"/>
      <c r="E391" s="9"/>
      <c r="F391" s="12"/>
      <c r="G391" s="12"/>
      <c r="H391" s="11"/>
      <c r="I391" s="11"/>
      <c r="J391" s="11"/>
      <c r="K391" s="11"/>
      <c r="L391" s="11"/>
      <c r="M391" s="11"/>
      <c r="N391" s="11"/>
      <c r="O391" s="11"/>
      <c r="P391" s="12"/>
      <c r="Q391" s="13"/>
      <c r="R391" s="13"/>
    </row>
    <row r="392" ht="15" customHeight="1" s="4" customFormat="1">
      <c r="A392" s="9"/>
      <c r="B392" s="10"/>
      <c r="C392" s="11"/>
      <c r="D392" s="11"/>
      <c r="E392" s="9"/>
      <c r="F392" s="12"/>
      <c r="G392" s="12"/>
      <c r="H392" s="11"/>
      <c r="I392" s="11"/>
      <c r="J392" s="11"/>
      <c r="K392" s="11"/>
      <c r="L392" s="11"/>
      <c r="M392" s="11"/>
      <c r="N392" s="11"/>
      <c r="O392" s="11"/>
      <c r="P392" s="12"/>
      <c r="Q392" s="13"/>
      <c r="R392" s="13"/>
    </row>
    <row r="393" ht="15" customHeight="1" s="4" customFormat="1">
      <c r="A393" s="9"/>
      <c r="B393" s="10"/>
      <c r="C393" s="11"/>
      <c r="D393" s="11"/>
      <c r="E393" s="9"/>
      <c r="F393" s="12"/>
      <c r="G393" s="12"/>
      <c r="H393" s="11"/>
      <c r="I393" s="11"/>
      <c r="J393" s="11"/>
      <c r="K393" s="11"/>
      <c r="L393" s="11"/>
      <c r="M393" s="11"/>
      <c r="N393" s="11"/>
      <c r="O393" s="11"/>
      <c r="P393" s="12"/>
      <c r="Q393" s="13"/>
      <c r="R393" s="13"/>
    </row>
    <row r="394" ht="15" customHeight="1" s="4" customFormat="1">
      <c r="A394" s="9"/>
      <c r="B394" s="10"/>
      <c r="C394" s="11"/>
      <c r="D394" s="11"/>
      <c r="E394" s="9"/>
      <c r="F394" s="12"/>
      <c r="G394" s="12"/>
      <c r="H394" s="11"/>
      <c r="I394" s="11"/>
      <c r="J394" s="11"/>
      <c r="K394" s="11"/>
      <c r="L394" s="11"/>
      <c r="M394" s="11"/>
      <c r="N394" s="11"/>
      <c r="O394" s="11"/>
      <c r="P394" s="12"/>
      <c r="Q394" s="13"/>
      <c r="R394" s="13"/>
    </row>
    <row r="395" ht="15" customHeight="1" s="4" customFormat="1">
      <c r="A395" s="9"/>
      <c r="B395" s="10"/>
      <c r="C395" s="11"/>
      <c r="D395" s="11"/>
      <c r="E395" s="9"/>
      <c r="F395" s="12"/>
      <c r="G395" s="12"/>
      <c r="H395" s="11"/>
      <c r="I395" s="11"/>
      <c r="J395" s="11"/>
      <c r="K395" s="11"/>
      <c r="L395" s="11"/>
      <c r="M395" s="11"/>
      <c r="N395" s="11"/>
      <c r="O395" s="11"/>
      <c r="P395" s="12"/>
      <c r="Q395" s="13"/>
      <c r="R395" s="13"/>
    </row>
    <row r="396" ht="15" customHeight="1" s="4" customFormat="1">
      <c r="A396" s="9"/>
      <c r="B396" s="10"/>
      <c r="C396" s="11"/>
      <c r="D396" s="11"/>
      <c r="E396" s="9"/>
      <c r="F396" s="12"/>
      <c r="G396" s="12"/>
      <c r="H396" s="11"/>
      <c r="I396" s="11"/>
      <c r="J396" s="11"/>
      <c r="K396" s="11"/>
      <c r="L396" s="11"/>
      <c r="M396" s="11"/>
      <c r="N396" s="11"/>
      <c r="O396" s="11"/>
      <c r="P396" s="12"/>
      <c r="Q396" s="13"/>
      <c r="R396" s="13"/>
    </row>
    <row r="397" ht="15" customHeight="1" s="4" customFormat="1">
      <c r="A397" s="9"/>
      <c r="B397" s="10"/>
      <c r="C397" s="11"/>
      <c r="D397" s="11"/>
      <c r="E397" s="9"/>
      <c r="F397" s="12"/>
      <c r="G397" s="12"/>
      <c r="H397" s="11"/>
      <c r="I397" s="11"/>
      <c r="J397" s="11"/>
      <c r="K397" s="11"/>
      <c r="L397" s="11"/>
      <c r="M397" s="11"/>
      <c r="N397" s="11"/>
      <c r="O397" s="11"/>
      <c r="P397" s="12"/>
      <c r="Q397" s="13"/>
      <c r="R397" s="13"/>
    </row>
    <row r="398" ht="15" customHeight="1" s="4" customFormat="1">
      <c r="A398" s="9"/>
      <c r="B398" s="10"/>
      <c r="C398" s="11"/>
      <c r="D398" s="11"/>
      <c r="E398" s="9"/>
      <c r="F398" s="12"/>
      <c r="G398" s="12"/>
      <c r="H398" s="11"/>
      <c r="I398" s="11"/>
      <c r="J398" s="11"/>
      <c r="K398" s="11"/>
      <c r="L398" s="11"/>
      <c r="M398" s="11"/>
      <c r="N398" s="11"/>
      <c r="O398" s="11"/>
      <c r="P398" s="12"/>
      <c r="Q398" s="13"/>
      <c r="R398" s="13"/>
    </row>
    <row r="399" ht="15" customHeight="1" s="4" customFormat="1">
      <c r="A399" s="9"/>
      <c r="B399" s="10"/>
      <c r="C399" s="11"/>
      <c r="D399" s="11"/>
      <c r="E399" s="9"/>
      <c r="F399" s="12"/>
      <c r="G399" s="12"/>
      <c r="H399" s="11"/>
      <c r="I399" s="11"/>
      <c r="J399" s="11"/>
      <c r="K399" s="11"/>
      <c r="L399" s="11"/>
      <c r="M399" s="11"/>
      <c r="N399" s="11"/>
      <c r="O399" s="11"/>
      <c r="P399" s="12"/>
      <c r="Q399" s="13"/>
      <c r="R399" s="13"/>
    </row>
    <row r="400" ht="15" customHeight="1" s="4" customFormat="1">
      <c r="A400" s="9"/>
      <c r="B400" s="10"/>
      <c r="C400" s="11"/>
      <c r="D400" s="11"/>
      <c r="E400" s="9"/>
      <c r="F400" s="12"/>
      <c r="G400" s="12"/>
      <c r="H400" s="11"/>
      <c r="I400" s="11"/>
      <c r="J400" s="11"/>
      <c r="K400" s="11"/>
      <c r="L400" s="11"/>
      <c r="M400" s="11"/>
      <c r="N400" s="11"/>
      <c r="O400" s="11"/>
      <c r="P400" s="12"/>
      <c r="Q400" s="13"/>
      <c r="R400" s="13"/>
    </row>
    <row r="401" ht="15" customHeight="1" s="4" customFormat="1">
      <c r="A401" s="9"/>
      <c r="B401" s="10"/>
      <c r="C401" s="11"/>
      <c r="D401" s="11"/>
      <c r="E401" s="9"/>
      <c r="F401" s="12"/>
      <c r="G401" s="12"/>
      <c r="H401" s="11"/>
      <c r="I401" s="11"/>
      <c r="J401" s="11"/>
      <c r="K401" s="11"/>
      <c r="L401" s="11"/>
      <c r="M401" s="11"/>
      <c r="N401" s="11"/>
      <c r="O401" s="11"/>
      <c r="P401" s="12"/>
      <c r="Q401" s="13"/>
      <c r="R401" s="13"/>
    </row>
    <row r="402" ht="15" customHeight="1" s="4" customFormat="1">
      <c r="A402" s="9"/>
      <c r="B402" s="10"/>
      <c r="C402" s="11"/>
      <c r="D402" s="11"/>
      <c r="E402" s="9"/>
      <c r="F402" s="12"/>
      <c r="G402" s="12"/>
      <c r="H402" s="11"/>
      <c r="I402" s="11"/>
      <c r="J402" s="11"/>
      <c r="K402" s="11"/>
      <c r="L402" s="11"/>
      <c r="M402" s="11"/>
      <c r="N402" s="11"/>
      <c r="O402" s="11"/>
      <c r="P402" s="12"/>
      <c r="Q402" s="13"/>
      <c r="R402" s="13"/>
    </row>
    <row r="403" ht="15" customHeight="1" s="4" customFormat="1">
      <c r="A403" s="9"/>
      <c r="B403" s="10"/>
      <c r="C403" s="11"/>
      <c r="D403" s="11"/>
      <c r="E403" s="9"/>
      <c r="F403" s="12"/>
      <c r="G403" s="12"/>
      <c r="H403" s="11"/>
      <c r="I403" s="11"/>
      <c r="J403" s="11"/>
      <c r="K403" s="11"/>
      <c r="L403" s="11"/>
      <c r="M403" s="11"/>
      <c r="N403" s="11"/>
      <c r="O403" s="11"/>
      <c r="P403" s="12"/>
      <c r="Q403" s="13"/>
      <c r="R403" s="13"/>
    </row>
    <row r="404" ht="15" customHeight="1" s="4" customFormat="1">
      <c r="A404" s="9"/>
      <c r="B404" s="10"/>
      <c r="C404" s="11"/>
      <c r="D404" s="11"/>
      <c r="E404" s="9"/>
      <c r="F404" s="12"/>
      <c r="G404" s="12"/>
      <c r="H404" s="11"/>
      <c r="I404" s="11"/>
      <c r="J404" s="11"/>
      <c r="K404" s="11"/>
      <c r="L404" s="11"/>
      <c r="M404" s="11"/>
      <c r="N404" s="11"/>
      <c r="O404" s="11"/>
      <c r="P404" s="12"/>
      <c r="Q404" s="13"/>
      <c r="R404" s="13"/>
    </row>
    <row r="405" ht="15" customHeight="1" s="4" customFormat="1">
      <c r="A405" s="9"/>
      <c r="B405" s="10"/>
      <c r="C405" s="11"/>
      <c r="D405" s="11"/>
      <c r="E405" s="9"/>
      <c r="F405" s="12"/>
      <c r="G405" s="12"/>
      <c r="H405" s="11"/>
      <c r="I405" s="11"/>
      <c r="J405" s="11"/>
      <c r="K405" s="11"/>
      <c r="L405" s="11"/>
      <c r="M405" s="11"/>
      <c r="N405" s="11"/>
      <c r="O405" s="11"/>
      <c r="P405" s="12"/>
      <c r="Q405" s="13"/>
      <c r="R405" s="13"/>
    </row>
    <row r="406" ht="15" customHeight="1" s="4" customFormat="1">
      <c r="A406" s="9"/>
      <c r="B406" s="10"/>
      <c r="C406" s="11"/>
      <c r="D406" s="11"/>
      <c r="E406" s="9"/>
      <c r="F406" s="12"/>
      <c r="G406" s="12"/>
      <c r="H406" s="11"/>
      <c r="I406" s="11"/>
      <c r="J406" s="11"/>
      <c r="K406" s="11"/>
      <c r="L406" s="11"/>
      <c r="M406" s="11"/>
      <c r="N406" s="11"/>
      <c r="O406" s="11"/>
      <c r="P406" s="12"/>
      <c r="Q406" s="13"/>
      <c r="R406" s="13"/>
    </row>
    <row r="407" ht="15" customHeight="1" s="4" customFormat="1">
      <c r="A407" s="9"/>
      <c r="B407" s="10"/>
      <c r="C407" s="11"/>
      <c r="D407" s="11"/>
      <c r="E407" s="9"/>
      <c r="F407" s="12"/>
      <c r="G407" s="12"/>
      <c r="H407" s="11"/>
      <c r="I407" s="11"/>
      <c r="J407" s="11"/>
      <c r="K407" s="11"/>
      <c r="L407" s="11"/>
      <c r="M407" s="11"/>
      <c r="N407" s="11"/>
      <c r="O407" s="11"/>
      <c r="P407" s="12"/>
      <c r="Q407" s="13"/>
      <c r="R407" s="13"/>
    </row>
    <row r="408" ht="15" customHeight="1" s="4" customFormat="1">
      <c r="A408" s="9"/>
      <c r="B408" s="10"/>
      <c r="C408" s="11"/>
      <c r="D408" s="11"/>
      <c r="E408" s="9"/>
      <c r="F408" s="12"/>
      <c r="G408" s="12"/>
      <c r="H408" s="11"/>
      <c r="I408" s="11"/>
      <c r="J408" s="11"/>
      <c r="K408" s="11"/>
      <c r="L408" s="11"/>
      <c r="M408" s="11"/>
      <c r="N408" s="11"/>
      <c r="O408" s="11"/>
      <c r="P408" s="12"/>
      <c r="Q408" s="13"/>
      <c r="R408" s="13"/>
    </row>
    <row r="409" ht="15" customHeight="1" s="4" customFormat="1">
      <c r="A409" s="9"/>
      <c r="B409" s="10"/>
      <c r="C409" s="11"/>
      <c r="D409" s="11"/>
      <c r="E409" s="9"/>
      <c r="F409" s="12"/>
      <c r="G409" s="12"/>
      <c r="H409" s="11"/>
      <c r="I409" s="11"/>
      <c r="J409" s="11"/>
      <c r="K409" s="11"/>
      <c r="L409" s="11"/>
      <c r="M409" s="11"/>
      <c r="N409" s="11"/>
      <c r="O409" s="11"/>
      <c r="P409" s="12"/>
      <c r="Q409" s="13"/>
      <c r="R409" s="13"/>
    </row>
    <row r="410" ht="15" customHeight="1" s="4" customFormat="1">
      <c r="A410" s="9"/>
      <c r="B410" s="10"/>
      <c r="C410" s="11"/>
      <c r="D410" s="11"/>
      <c r="E410" s="9"/>
      <c r="F410" s="12"/>
      <c r="G410" s="12"/>
      <c r="H410" s="11"/>
      <c r="I410" s="11"/>
      <c r="J410" s="11"/>
      <c r="K410" s="11"/>
      <c r="L410" s="11"/>
      <c r="M410" s="11"/>
      <c r="N410" s="11"/>
      <c r="O410" s="11"/>
      <c r="P410" s="12"/>
      <c r="Q410" s="13"/>
      <c r="R410" s="13"/>
    </row>
    <row r="411" ht="15" customHeight="1" s="4" customFormat="1">
      <c r="A411" s="9"/>
      <c r="B411" s="10"/>
      <c r="C411" s="11"/>
      <c r="D411" s="11"/>
      <c r="E411" s="9"/>
      <c r="F411" s="12"/>
      <c r="G411" s="12"/>
      <c r="H411" s="11"/>
      <c r="I411" s="11"/>
      <c r="J411" s="11"/>
      <c r="K411" s="11"/>
      <c r="L411" s="11"/>
      <c r="M411" s="11"/>
      <c r="N411" s="11"/>
      <c r="O411" s="11"/>
      <c r="P411" s="12"/>
      <c r="Q411" s="13"/>
      <c r="R411" s="13"/>
    </row>
    <row r="412" ht="15" customHeight="1" s="4" customFormat="1">
      <c r="A412" s="9"/>
      <c r="B412" s="10"/>
      <c r="C412" s="11"/>
      <c r="D412" s="11"/>
      <c r="E412" s="9"/>
      <c r="F412" s="12"/>
      <c r="G412" s="12"/>
      <c r="H412" s="11"/>
      <c r="I412" s="11"/>
      <c r="J412" s="11"/>
      <c r="K412" s="11"/>
      <c r="L412" s="11"/>
      <c r="M412" s="11"/>
      <c r="N412" s="11"/>
      <c r="O412" s="11"/>
      <c r="P412" s="12"/>
      <c r="Q412" s="13"/>
      <c r="R412" s="13"/>
    </row>
    <row r="413" ht="15" customHeight="1" s="4" customFormat="1">
      <c r="A413" s="9"/>
      <c r="B413" s="10"/>
      <c r="C413" s="11"/>
      <c r="D413" s="11"/>
      <c r="E413" s="9"/>
      <c r="F413" s="12"/>
      <c r="G413" s="12"/>
      <c r="H413" s="11"/>
      <c r="I413" s="11"/>
      <c r="J413" s="11"/>
      <c r="K413" s="11"/>
      <c r="L413" s="11"/>
      <c r="M413" s="11"/>
      <c r="N413" s="11"/>
      <c r="O413" s="11"/>
      <c r="P413" s="12"/>
      <c r="Q413" s="13"/>
      <c r="R413" s="13"/>
    </row>
    <row r="414" ht="15" customHeight="1" s="4" customFormat="1">
      <c r="A414" s="9"/>
      <c r="B414" s="10"/>
      <c r="C414" s="11"/>
      <c r="D414" s="11"/>
      <c r="E414" s="9"/>
      <c r="F414" s="12"/>
      <c r="G414" s="12"/>
      <c r="H414" s="11"/>
      <c r="I414" s="11"/>
      <c r="J414" s="11"/>
      <c r="K414" s="11"/>
      <c r="L414" s="11"/>
      <c r="M414" s="11"/>
      <c r="N414" s="11"/>
      <c r="O414" s="11"/>
      <c r="P414" s="12"/>
      <c r="Q414" s="13"/>
      <c r="R414" s="13"/>
    </row>
    <row r="415" ht="15" customHeight="1" s="4" customFormat="1">
      <c r="A415" s="9"/>
      <c r="B415" s="10"/>
      <c r="C415" s="11"/>
      <c r="D415" s="11"/>
      <c r="E415" s="9"/>
      <c r="F415" s="12"/>
      <c r="G415" s="12"/>
      <c r="H415" s="11"/>
      <c r="I415" s="11"/>
      <c r="J415" s="11"/>
      <c r="K415" s="11"/>
      <c r="L415" s="11"/>
      <c r="M415" s="11"/>
      <c r="N415" s="11"/>
      <c r="O415" s="11"/>
      <c r="P415" s="12"/>
      <c r="Q415" s="13"/>
      <c r="R415" s="13"/>
    </row>
    <row r="416" ht="15" customHeight="1" s="4" customFormat="1">
      <c r="A416" s="9"/>
      <c r="B416" s="10"/>
      <c r="C416" s="11"/>
      <c r="D416" s="11"/>
      <c r="E416" s="9"/>
      <c r="F416" s="12"/>
      <c r="G416" s="12"/>
      <c r="H416" s="11"/>
      <c r="I416" s="11"/>
      <c r="J416" s="11"/>
      <c r="K416" s="11"/>
      <c r="L416" s="11"/>
      <c r="M416" s="11"/>
      <c r="N416" s="11"/>
      <c r="O416" s="11"/>
      <c r="P416" s="12"/>
      <c r="Q416" s="13"/>
      <c r="R416" s="13"/>
    </row>
    <row r="417" ht="15" customHeight="1" s="4" customFormat="1">
      <c r="A417" s="9"/>
      <c r="B417" s="10"/>
      <c r="C417" s="11"/>
      <c r="D417" s="11"/>
      <c r="E417" s="9"/>
      <c r="F417" s="12"/>
      <c r="G417" s="12"/>
      <c r="H417" s="11"/>
      <c r="I417" s="11"/>
      <c r="J417" s="11"/>
      <c r="K417" s="11"/>
      <c r="L417" s="11"/>
      <c r="M417" s="11"/>
      <c r="N417" s="11"/>
      <c r="O417" s="11"/>
      <c r="P417" s="12"/>
      <c r="Q417" s="13"/>
      <c r="R417" s="13"/>
    </row>
    <row r="418" ht="15" customHeight="1" s="4" customFormat="1">
      <c r="A418" s="9"/>
      <c r="B418" s="10"/>
      <c r="C418" s="11"/>
      <c r="D418" s="11"/>
      <c r="E418" s="9"/>
      <c r="F418" s="12"/>
      <c r="G418" s="12"/>
      <c r="H418" s="11"/>
      <c r="I418" s="11"/>
      <c r="J418" s="11"/>
      <c r="K418" s="11"/>
      <c r="L418" s="11"/>
      <c r="M418" s="11"/>
      <c r="N418" s="11"/>
      <c r="O418" s="11"/>
      <c r="P418" s="12"/>
      <c r="Q418" s="13"/>
      <c r="R418" s="13"/>
    </row>
    <row r="419" ht="15" customHeight="1" s="4" customFormat="1">
      <c r="A419" s="9"/>
      <c r="B419" s="10"/>
      <c r="C419" s="11"/>
      <c r="D419" s="11"/>
      <c r="E419" s="9"/>
      <c r="F419" s="12"/>
      <c r="G419" s="12"/>
      <c r="H419" s="11"/>
      <c r="I419" s="11"/>
      <c r="J419" s="11"/>
      <c r="K419" s="11"/>
      <c r="L419" s="11"/>
      <c r="M419" s="11"/>
      <c r="N419" s="11"/>
      <c r="O419" s="11"/>
      <c r="P419" s="12"/>
      <c r="Q419" s="13"/>
      <c r="R419" s="13"/>
    </row>
    <row r="420" ht="15" customHeight="1" s="4" customFormat="1">
      <c r="A420" s="9"/>
      <c r="B420" s="10"/>
      <c r="C420" s="11"/>
      <c r="D420" s="11"/>
      <c r="E420" s="9"/>
      <c r="F420" s="12"/>
      <c r="G420" s="12"/>
      <c r="H420" s="11"/>
      <c r="I420" s="11"/>
      <c r="J420" s="11"/>
      <c r="K420" s="11"/>
      <c r="L420" s="11"/>
      <c r="M420" s="11"/>
      <c r="N420" s="11"/>
      <c r="O420" s="11"/>
      <c r="P420" s="12"/>
      <c r="Q420" s="13"/>
      <c r="R420" s="13"/>
    </row>
    <row r="421" ht="15" customHeight="1" s="4" customFormat="1">
      <c r="A421" s="9"/>
      <c r="B421" s="10"/>
      <c r="C421" s="11"/>
      <c r="D421" s="11"/>
      <c r="E421" s="9"/>
      <c r="F421" s="12"/>
      <c r="G421" s="12"/>
      <c r="H421" s="11"/>
      <c r="I421" s="11"/>
      <c r="J421" s="11"/>
      <c r="K421" s="11"/>
      <c r="L421" s="11"/>
      <c r="M421" s="11"/>
      <c r="N421" s="11"/>
      <c r="O421" s="11"/>
      <c r="P421" s="12"/>
      <c r="Q421" s="13"/>
      <c r="R421" s="13"/>
    </row>
    <row r="422" ht="15" customHeight="1" s="4" customFormat="1">
      <c r="A422" s="9"/>
      <c r="B422" s="10"/>
      <c r="C422" s="11"/>
      <c r="D422" s="11"/>
      <c r="E422" s="9"/>
      <c r="F422" s="12"/>
      <c r="G422" s="12"/>
      <c r="H422" s="11"/>
      <c r="I422" s="11"/>
      <c r="J422" s="11"/>
      <c r="K422" s="11"/>
      <c r="L422" s="11"/>
      <c r="M422" s="11"/>
      <c r="N422" s="11"/>
      <c r="O422" s="11"/>
      <c r="P422" s="12"/>
      <c r="Q422" s="13"/>
      <c r="R422" s="13"/>
    </row>
    <row r="423" ht="15" customHeight="1" s="4" customFormat="1">
      <c r="A423" s="9"/>
      <c r="B423" s="10"/>
      <c r="C423" s="11"/>
      <c r="D423" s="11"/>
      <c r="E423" s="9"/>
      <c r="F423" s="12"/>
      <c r="G423" s="12"/>
      <c r="H423" s="11"/>
      <c r="I423" s="11"/>
      <c r="J423" s="11"/>
      <c r="K423" s="11"/>
      <c r="L423" s="11"/>
      <c r="M423" s="11"/>
      <c r="N423" s="11"/>
      <c r="O423" s="11"/>
      <c r="P423" s="12"/>
      <c r="Q423" s="13"/>
      <c r="R423" s="13"/>
    </row>
    <row r="424" ht="15" customHeight="1" s="4" customFormat="1">
      <c r="A424" s="9"/>
      <c r="B424" s="10"/>
      <c r="C424" s="11"/>
      <c r="D424" s="11"/>
      <c r="E424" s="9"/>
      <c r="F424" s="12"/>
      <c r="G424" s="12"/>
      <c r="H424" s="11"/>
      <c r="I424" s="11"/>
      <c r="J424" s="11"/>
      <c r="K424" s="11"/>
      <c r="L424" s="11"/>
      <c r="M424" s="11"/>
      <c r="N424" s="11"/>
      <c r="O424" s="11"/>
      <c r="P424" s="12"/>
      <c r="Q424" s="13"/>
      <c r="R424" s="13"/>
    </row>
    <row r="425" ht="15" customHeight="1" s="4" customFormat="1">
      <c r="A425" s="9"/>
      <c r="B425" s="10"/>
      <c r="C425" s="11"/>
      <c r="D425" s="11"/>
      <c r="E425" s="9"/>
      <c r="F425" s="12"/>
      <c r="G425" s="12"/>
      <c r="H425" s="11"/>
      <c r="I425" s="11"/>
      <c r="J425" s="11"/>
      <c r="K425" s="11"/>
      <c r="L425" s="11"/>
      <c r="M425" s="11"/>
      <c r="N425" s="11"/>
      <c r="O425" s="11"/>
      <c r="P425" s="12"/>
      <c r="Q425" s="13"/>
      <c r="R425" s="13"/>
    </row>
    <row r="426" ht="15" customHeight="1" s="4" customFormat="1">
      <c r="A426" s="9"/>
      <c r="B426" s="10"/>
      <c r="C426" s="11"/>
      <c r="D426" s="11"/>
      <c r="E426" s="9"/>
      <c r="F426" s="12"/>
      <c r="G426" s="12"/>
      <c r="H426" s="11"/>
      <c r="I426" s="11"/>
      <c r="J426" s="11"/>
      <c r="K426" s="11"/>
      <c r="L426" s="11"/>
      <c r="M426" s="11"/>
      <c r="N426" s="11"/>
      <c r="O426" s="11"/>
      <c r="P426" s="12"/>
      <c r="Q426" s="13"/>
      <c r="R426" s="13"/>
    </row>
    <row r="427" ht="15" customHeight="1" s="4" customFormat="1">
      <c r="A427" s="9"/>
      <c r="B427" s="10"/>
      <c r="C427" s="11"/>
      <c r="D427" s="11"/>
      <c r="E427" s="9"/>
      <c r="F427" s="12"/>
      <c r="G427" s="12"/>
      <c r="H427" s="11"/>
      <c r="I427" s="11"/>
      <c r="J427" s="11"/>
      <c r="K427" s="11"/>
      <c r="L427" s="11"/>
      <c r="M427" s="11"/>
      <c r="N427" s="11"/>
      <c r="O427" s="11"/>
      <c r="P427" s="12"/>
      <c r="Q427" s="13"/>
      <c r="R427" s="13"/>
    </row>
    <row r="428" ht="15" customHeight="1" s="4" customFormat="1">
      <c r="A428" s="9"/>
      <c r="B428" s="10"/>
      <c r="C428" s="11"/>
      <c r="D428" s="11"/>
      <c r="E428" s="9"/>
      <c r="F428" s="12"/>
      <c r="G428" s="12"/>
      <c r="H428" s="11"/>
      <c r="I428" s="11"/>
      <c r="J428" s="11"/>
      <c r="K428" s="11"/>
      <c r="L428" s="11"/>
      <c r="M428" s="11"/>
      <c r="N428" s="11"/>
      <c r="O428" s="11"/>
      <c r="P428" s="12"/>
      <c r="Q428" s="13"/>
      <c r="R428" s="13"/>
    </row>
    <row r="429" ht="15" customHeight="1" s="4" customFormat="1">
      <c r="A429" s="9"/>
      <c r="B429" s="10"/>
      <c r="C429" s="11"/>
      <c r="D429" s="11"/>
      <c r="E429" s="9"/>
      <c r="F429" s="12"/>
      <c r="G429" s="12"/>
      <c r="H429" s="11"/>
      <c r="I429" s="11"/>
      <c r="J429" s="11"/>
      <c r="K429" s="11"/>
      <c r="L429" s="11"/>
      <c r="M429" s="11"/>
      <c r="N429" s="11"/>
      <c r="O429" s="11"/>
      <c r="P429" s="12"/>
      <c r="Q429" s="13"/>
      <c r="R429" s="13"/>
    </row>
    <row r="430" ht="15" customHeight="1" s="4" customFormat="1">
      <c r="A430" s="9"/>
      <c r="B430" s="10"/>
      <c r="C430" s="11"/>
      <c r="D430" s="11"/>
      <c r="E430" s="9"/>
      <c r="F430" s="12"/>
      <c r="G430" s="12"/>
      <c r="H430" s="11"/>
      <c r="I430" s="11"/>
      <c r="J430" s="11"/>
      <c r="K430" s="11"/>
      <c r="L430" s="11"/>
      <c r="M430" s="11"/>
      <c r="N430" s="11"/>
      <c r="O430" s="11"/>
      <c r="P430" s="12"/>
      <c r="Q430" s="13"/>
      <c r="R430" s="13"/>
    </row>
    <row r="431" ht="15" customHeight="1" s="4" customFormat="1">
      <c r="A431" s="9"/>
      <c r="B431" s="10"/>
      <c r="C431" s="11"/>
      <c r="D431" s="11"/>
      <c r="E431" s="9"/>
      <c r="F431" s="12"/>
      <c r="G431" s="12"/>
      <c r="H431" s="11"/>
      <c r="I431" s="11"/>
      <c r="J431" s="11"/>
      <c r="K431" s="11"/>
      <c r="L431" s="11"/>
      <c r="M431" s="11"/>
      <c r="N431" s="11"/>
      <c r="O431" s="11"/>
      <c r="P431" s="12"/>
      <c r="Q431" s="13"/>
      <c r="R431" s="13"/>
    </row>
    <row r="432" ht="15" customHeight="1" s="4" customFormat="1">
      <c r="A432" s="9"/>
      <c r="B432" s="10"/>
      <c r="C432" s="11"/>
      <c r="D432" s="11"/>
      <c r="E432" s="9"/>
      <c r="F432" s="12"/>
      <c r="G432" s="12"/>
      <c r="H432" s="11"/>
      <c r="I432" s="11"/>
      <c r="J432" s="11"/>
      <c r="K432" s="11"/>
      <c r="L432" s="11"/>
      <c r="M432" s="11"/>
      <c r="N432" s="11"/>
      <c r="O432" s="11"/>
      <c r="P432" s="12"/>
      <c r="Q432" s="13"/>
      <c r="R432" s="13"/>
    </row>
    <row r="433" ht="15" customHeight="1" s="4" customFormat="1">
      <c r="A433" s="9"/>
      <c r="B433" s="10"/>
      <c r="C433" s="11"/>
      <c r="D433" s="11"/>
      <c r="E433" s="9"/>
      <c r="F433" s="12"/>
      <c r="G433" s="12"/>
      <c r="H433" s="11"/>
      <c r="I433" s="11"/>
      <c r="J433" s="11"/>
      <c r="K433" s="11"/>
      <c r="L433" s="11"/>
      <c r="M433" s="11"/>
      <c r="N433" s="11"/>
      <c r="O433" s="11"/>
      <c r="P433" s="12"/>
      <c r="Q433" s="13"/>
      <c r="R433" s="13"/>
    </row>
    <row r="434" ht="15" customHeight="1" s="4" customFormat="1">
      <c r="A434" s="9"/>
      <c r="B434" s="10"/>
      <c r="C434" s="11"/>
      <c r="D434" s="11"/>
      <c r="E434" s="9"/>
      <c r="F434" s="12"/>
      <c r="G434" s="12"/>
      <c r="H434" s="11"/>
      <c r="I434" s="11"/>
      <c r="J434" s="11"/>
      <c r="K434" s="11"/>
      <c r="L434" s="11"/>
      <c r="M434" s="11"/>
      <c r="N434" s="11"/>
      <c r="O434" s="11"/>
      <c r="P434" s="12"/>
      <c r="Q434" s="13"/>
      <c r="R434" s="13"/>
    </row>
    <row r="435" ht="15" customHeight="1" s="4" customFormat="1">
      <c r="A435" s="9"/>
      <c r="B435" s="10"/>
      <c r="C435" s="11"/>
      <c r="D435" s="11"/>
      <c r="E435" s="9"/>
      <c r="F435" s="12"/>
      <c r="G435" s="12"/>
      <c r="H435" s="11"/>
      <c r="I435" s="11"/>
      <c r="J435" s="11"/>
      <c r="K435" s="11"/>
      <c r="L435" s="11"/>
      <c r="M435" s="11"/>
      <c r="N435" s="11"/>
      <c r="O435" s="11"/>
      <c r="P435" s="12"/>
      <c r="Q435" s="13"/>
      <c r="R435" s="13"/>
    </row>
    <row r="436" ht="15" customHeight="1" s="4" customFormat="1">
      <c r="A436" s="9"/>
      <c r="B436" s="10"/>
      <c r="C436" s="11"/>
      <c r="D436" s="11"/>
      <c r="E436" s="9"/>
      <c r="F436" s="12"/>
      <c r="G436" s="12"/>
      <c r="H436" s="11"/>
      <c r="I436" s="11"/>
      <c r="J436" s="11"/>
      <c r="K436" s="11"/>
      <c r="L436" s="11"/>
      <c r="M436" s="11"/>
      <c r="N436" s="11"/>
      <c r="O436" s="11"/>
      <c r="P436" s="12"/>
      <c r="Q436" s="13"/>
      <c r="R436" s="13"/>
    </row>
    <row r="437" ht="15" customHeight="1" s="4" customFormat="1">
      <c r="A437" s="9"/>
      <c r="B437" s="10"/>
      <c r="C437" s="11"/>
      <c r="D437" s="11"/>
      <c r="E437" s="9"/>
      <c r="F437" s="12"/>
      <c r="G437" s="12"/>
      <c r="H437" s="11"/>
      <c r="I437" s="11"/>
      <c r="J437" s="11"/>
      <c r="K437" s="11"/>
      <c r="L437" s="11"/>
      <c r="M437" s="11"/>
      <c r="N437" s="11"/>
      <c r="O437" s="11"/>
      <c r="P437" s="12"/>
      <c r="Q437" s="13"/>
      <c r="R437" s="13"/>
    </row>
    <row r="438" ht="15" customHeight="1" s="4" customFormat="1">
      <c r="A438" s="9"/>
      <c r="B438" s="10"/>
      <c r="C438" s="11"/>
      <c r="D438" s="11"/>
      <c r="E438" s="9"/>
      <c r="F438" s="12"/>
      <c r="G438" s="12"/>
      <c r="H438" s="11"/>
      <c r="I438" s="11"/>
      <c r="J438" s="11"/>
      <c r="K438" s="11"/>
      <c r="L438" s="11"/>
      <c r="M438" s="11"/>
      <c r="N438" s="11"/>
      <c r="O438" s="11"/>
      <c r="P438" s="12"/>
      <c r="Q438" s="13"/>
      <c r="R438" s="13"/>
    </row>
    <row r="439" ht="15" customHeight="1" s="4" customFormat="1">
      <c r="A439" s="9"/>
      <c r="B439" s="10"/>
      <c r="C439" s="11"/>
      <c r="D439" s="11"/>
      <c r="E439" s="9"/>
      <c r="F439" s="12"/>
      <c r="G439" s="12"/>
      <c r="H439" s="11"/>
      <c r="I439" s="11"/>
      <c r="J439" s="11"/>
      <c r="K439" s="11"/>
      <c r="L439" s="11"/>
      <c r="M439" s="11"/>
      <c r="N439" s="11"/>
      <c r="O439" s="11"/>
      <c r="P439" s="12"/>
      <c r="Q439" s="13"/>
      <c r="R439" s="13"/>
    </row>
    <row r="440" ht="15" customHeight="1" s="4" customFormat="1">
      <c r="A440" s="9"/>
      <c r="B440" s="10"/>
      <c r="C440" s="11"/>
      <c r="D440" s="11"/>
      <c r="E440" s="9"/>
      <c r="F440" s="12"/>
      <c r="G440" s="12"/>
      <c r="H440" s="11"/>
      <c r="I440" s="11"/>
      <c r="J440" s="11"/>
      <c r="K440" s="11"/>
      <c r="L440" s="11"/>
      <c r="M440" s="11"/>
      <c r="N440" s="11"/>
      <c r="O440" s="11"/>
      <c r="P440" s="12"/>
      <c r="Q440" s="13"/>
      <c r="R440" s="13"/>
    </row>
    <row r="441" ht="15" customHeight="1" s="4" customFormat="1">
      <c r="A441" s="9"/>
      <c r="B441" s="10"/>
      <c r="C441" s="11"/>
      <c r="D441" s="11"/>
      <c r="E441" s="9"/>
      <c r="F441" s="12"/>
      <c r="G441" s="12"/>
      <c r="H441" s="11"/>
      <c r="I441" s="11"/>
      <c r="J441" s="11"/>
      <c r="K441" s="11"/>
      <c r="L441" s="11"/>
      <c r="M441" s="11"/>
      <c r="N441" s="11"/>
      <c r="O441" s="11"/>
      <c r="P441" s="12"/>
      <c r="Q441" s="13"/>
      <c r="R441" s="13"/>
    </row>
    <row r="442" ht="15" customHeight="1" s="4" customFormat="1">
      <c r="A442" s="9"/>
      <c r="B442" s="10"/>
      <c r="C442" s="11"/>
      <c r="D442" s="11"/>
      <c r="E442" s="9"/>
      <c r="F442" s="12"/>
      <c r="G442" s="12"/>
      <c r="H442" s="11"/>
      <c r="I442" s="11"/>
      <c r="J442" s="11"/>
      <c r="K442" s="11"/>
      <c r="L442" s="11"/>
      <c r="M442" s="11"/>
      <c r="N442" s="11"/>
      <c r="O442" s="11"/>
      <c r="P442" s="12"/>
      <c r="Q442" s="13"/>
      <c r="R442" s="13"/>
    </row>
    <row r="443" ht="15" customHeight="1" s="4" customFormat="1">
      <c r="A443" s="9"/>
      <c r="B443" s="10"/>
      <c r="C443" s="11"/>
      <c r="D443" s="11"/>
      <c r="E443" s="9"/>
      <c r="F443" s="12"/>
      <c r="G443" s="12"/>
      <c r="H443" s="11"/>
      <c r="I443" s="11"/>
      <c r="J443" s="11"/>
      <c r="K443" s="11"/>
      <c r="L443" s="11"/>
      <c r="M443" s="11"/>
      <c r="N443" s="11"/>
      <c r="O443" s="11"/>
      <c r="P443" s="12"/>
      <c r="Q443" s="13"/>
      <c r="R443" s="13"/>
    </row>
    <row r="444" ht="15" customHeight="1" s="4" customFormat="1">
      <c r="A444" s="9"/>
      <c r="B444" s="10"/>
      <c r="C444" s="11"/>
      <c r="D444" s="11"/>
      <c r="E444" s="9"/>
      <c r="F444" s="12"/>
      <c r="G444" s="12"/>
      <c r="H444" s="11"/>
      <c r="I444" s="11"/>
      <c r="J444" s="11"/>
      <c r="K444" s="11"/>
      <c r="L444" s="11"/>
      <c r="M444" s="11"/>
      <c r="N444" s="11"/>
      <c r="O444" s="11"/>
      <c r="P444" s="12"/>
      <c r="Q444" s="13"/>
      <c r="R444" s="13"/>
    </row>
    <row r="445" ht="15" customHeight="1" s="4" customFormat="1">
      <c r="A445" s="9"/>
      <c r="B445" s="10"/>
      <c r="C445" s="11"/>
      <c r="D445" s="11"/>
      <c r="E445" s="9"/>
      <c r="F445" s="12"/>
      <c r="G445" s="12"/>
      <c r="H445" s="11"/>
      <c r="I445" s="11"/>
      <c r="J445" s="11"/>
      <c r="K445" s="11"/>
      <c r="L445" s="11"/>
      <c r="M445" s="11"/>
      <c r="N445" s="11"/>
      <c r="O445" s="11"/>
      <c r="P445" s="12"/>
      <c r="Q445" s="13"/>
      <c r="R445" s="13"/>
    </row>
    <row r="446" ht="15" customHeight="1" s="4" customFormat="1">
      <c r="A446" s="9"/>
      <c r="B446" s="10"/>
      <c r="C446" s="11"/>
      <c r="D446" s="11"/>
      <c r="E446" s="9"/>
      <c r="F446" s="12"/>
      <c r="G446" s="12"/>
      <c r="H446" s="11"/>
      <c r="I446" s="11"/>
      <c r="J446" s="11"/>
      <c r="K446" s="11"/>
      <c r="L446" s="11"/>
      <c r="M446" s="11"/>
      <c r="N446" s="11"/>
      <c r="O446" s="11"/>
      <c r="P446" s="12"/>
      <c r="Q446" s="13"/>
      <c r="R446" s="13"/>
    </row>
    <row r="447" ht="15" customHeight="1" s="4" customFormat="1">
      <c r="A447" s="9"/>
      <c r="B447" s="10"/>
      <c r="C447" s="11"/>
      <c r="D447" s="11"/>
      <c r="E447" s="9"/>
      <c r="F447" s="12"/>
      <c r="G447" s="12"/>
      <c r="H447" s="11"/>
      <c r="I447" s="11"/>
      <c r="J447" s="11"/>
      <c r="K447" s="11"/>
      <c r="L447" s="11"/>
      <c r="M447" s="11"/>
      <c r="N447" s="11"/>
      <c r="O447" s="11"/>
      <c r="P447" s="12"/>
      <c r="Q447" s="13"/>
      <c r="R447" s="13"/>
    </row>
    <row r="448" ht="15" customHeight="1" s="4" customFormat="1">
      <c r="A448" s="9"/>
      <c r="B448" s="10"/>
      <c r="C448" s="11"/>
      <c r="D448" s="11"/>
      <c r="E448" s="9"/>
      <c r="F448" s="12"/>
      <c r="G448" s="12"/>
      <c r="H448" s="11"/>
      <c r="I448" s="11"/>
      <c r="J448" s="11"/>
      <c r="K448" s="11"/>
      <c r="L448" s="11"/>
      <c r="M448" s="11"/>
      <c r="N448" s="11"/>
      <c r="O448" s="11"/>
      <c r="P448" s="12"/>
      <c r="Q448" s="13"/>
      <c r="R448" s="13"/>
    </row>
    <row r="449" ht="15" customHeight="1" s="4" customFormat="1">
      <c r="A449" s="9"/>
      <c r="B449" s="10"/>
      <c r="C449" s="11"/>
      <c r="D449" s="11"/>
      <c r="E449" s="9"/>
      <c r="F449" s="12"/>
      <c r="G449" s="12"/>
      <c r="H449" s="11"/>
      <c r="I449" s="11"/>
      <c r="J449" s="11"/>
      <c r="K449" s="11"/>
      <c r="L449" s="11"/>
      <c r="M449" s="11"/>
      <c r="N449" s="11"/>
      <c r="O449" s="11"/>
      <c r="P449" s="12"/>
      <c r="Q449" s="13"/>
      <c r="R449" s="13"/>
    </row>
    <row r="450" ht="15" customHeight="1" s="4" customFormat="1">
      <c r="A450" s="9"/>
      <c r="B450" s="10"/>
      <c r="C450" s="11"/>
      <c r="D450" s="11"/>
      <c r="E450" s="9"/>
      <c r="F450" s="12"/>
      <c r="G450" s="12"/>
      <c r="H450" s="11"/>
      <c r="I450" s="11"/>
      <c r="J450" s="11"/>
      <c r="K450" s="11"/>
      <c r="L450" s="11"/>
      <c r="M450" s="11"/>
      <c r="N450" s="11"/>
      <c r="O450" s="11"/>
      <c r="P450" s="12"/>
      <c r="Q450" s="13"/>
      <c r="R450" s="13"/>
    </row>
    <row r="451" ht="15" customHeight="1" s="4" customFormat="1">
      <c r="A451" s="9"/>
      <c r="B451" s="10"/>
      <c r="C451" s="11"/>
      <c r="D451" s="11"/>
      <c r="E451" s="9"/>
      <c r="F451" s="12"/>
      <c r="G451" s="12"/>
      <c r="H451" s="11"/>
      <c r="I451" s="11"/>
      <c r="J451" s="11"/>
      <c r="K451" s="11"/>
      <c r="L451" s="11"/>
      <c r="M451" s="11"/>
      <c r="N451" s="11"/>
      <c r="O451" s="11"/>
      <c r="P451" s="12"/>
      <c r="Q451" s="13"/>
      <c r="R451" s="13"/>
    </row>
    <row r="452" ht="15" customHeight="1" s="4" customFormat="1">
      <c r="A452" s="9"/>
      <c r="B452" s="10"/>
      <c r="C452" s="11"/>
      <c r="D452" s="11"/>
      <c r="E452" s="9"/>
      <c r="F452" s="12"/>
      <c r="G452" s="12"/>
      <c r="H452" s="11"/>
      <c r="I452" s="11"/>
      <c r="J452" s="11"/>
      <c r="K452" s="11"/>
      <c r="L452" s="11"/>
      <c r="M452" s="11"/>
      <c r="N452" s="11"/>
      <c r="O452" s="11"/>
      <c r="P452" s="12"/>
      <c r="Q452" s="13"/>
      <c r="R452" s="13"/>
    </row>
    <row r="453" ht="15" customHeight="1" s="4" customFormat="1">
      <c r="A453" s="9"/>
      <c r="B453" s="10"/>
      <c r="C453" s="11"/>
      <c r="D453" s="11"/>
      <c r="E453" s="9"/>
      <c r="F453" s="12"/>
      <c r="G453" s="12"/>
      <c r="H453" s="11"/>
      <c r="I453" s="11"/>
      <c r="J453" s="11"/>
      <c r="K453" s="11"/>
      <c r="L453" s="11"/>
      <c r="M453" s="11"/>
      <c r="N453" s="11"/>
      <c r="O453" s="11"/>
      <c r="P453" s="12"/>
      <c r="Q453" s="13"/>
      <c r="R453" s="13"/>
    </row>
    <row r="454" ht="15" customHeight="1" s="4" customFormat="1">
      <c r="A454" s="9"/>
      <c r="B454" s="10"/>
      <c r="C454" s="11"/>
      <c r="D454" s="11"/>
      <c r="E454" s="9"/>
      <c r="F454" s="12"/>
      <c r="G454" s="12"/>
      <c r="H454" s="11"/>
      <c r="I454" s="11"/>
      <c r="J454" s="11"/>
      <c r="K454" s="11"/>
      <c r="L454" s="11"/>
      <c r="M454" s="11"/>
      <c r="N454" s="11"/>
      <c r="O454" s="11"/>
      <c r="P454" s="12"/>
      <c r="Q454" s="13"/>
      <c r="R454" s="13"/>
    </row>
    <row r="455" ht="15" customHeight="1" s="4" customFormat="1">
      <c r="A455" s="9"/>
      <c r="B455" s="10"/>
      <c r="C455" s="11"/>
      <c r="D455" s="11"/>
      <c r="E455" s="9"/>
      <c r="F455" s="12"/>
      <c r="G455" s="12"/>
      <c r="H455" s="11"/>
      <c r="I455" s="11"/>
      <c r="J455" s="11"/>
      <c r="K455" s="11"/>
      <c r="L455" s="11"/>
      <c r="M455" s="11"/>
      <c r="N455" s="11"/>
      <c r="O455" s="11"/>
      <c r="P455" s="12"/>
      <c r="Q455" s="13"/>
      <c r="R455" s="13"/>
    </row>
    <row r="456" ht="15" customHeight="1" s="4" customFormat="1">
      <c r="A456" s="9"/>
      <c r="B456" s="10"/>
      <c r="C456" s="11"/>
      <c r="D456" s="11"/>
      <c r="E456" s="9"/>
      <c r="F456" s="12"/>
      <c r="G456" s="12"/>
      <c r="H456" s="11"/>
      <c r="I456" s="11"/>
      <c r="J456" s="11"/>
      <c r="K456" s="11"/>
      <c r="L456" s="11"/>
      <c r="M456" s="11"/>
      <c r="N456" s="11"/>
      <c r="O456" s="11"/>
      <c r="P456" s="12"/>
      <c r="Q456" s="13"/>
      <c r="R456" s="13"/>
    </row>
    <row r="457" ht="15" customHeight="1" s="4" customFormat="1">
      <c r="A457" s="9"/>
      <c r="B457" s="10"/>
      <c r="C457" s="11"/>
      <c r="D457" s="11"/>
      <c r="E457" s="9"/>
      <c r="F457" s="12"/>
      <c r="G457" s="12"/>
      <c r="H457" s="11"/>
      <c r="I457" s="11"/>
      <c r="J457" s="11"/>
      <c r="K457" s="11"/>
      <c r="L457" s="11"/>
      <c r="M457" s="11"/>
      <c r="N457" s="11"/>
      <c r="O457" s="11"/>
      <c r="P457" s="12"/>
      <c r="Q457" s="13"/>
      <c r="R457" s="13"/>
    </row>
    <row r="458" ht="15" customHeight="1" s="4" customFormat="1">
      <c r="A458" s="9"/>
      <c r="B458" s="10"/>
      <c r="C458" s="11"/>
      <c r="D458" s="11"/>
      <c r="E458" s="9"/>
      <c r="F458" s="12"/>
      <c r="G458" s="12"/>
      <c r="H458" s="11"/>
      <c r="I458" s="11"/>
      <c r="J458" s="11"/>
      <c r="K458" s="11"/>
      <c r="L458" s="11"/>
      <c r="M458" s="11"/>
      <c r="N458" s="11"/>
      <c r="O458" s="11"/>
      <c r="P458" s="12"/>
      <c r="Q458" s="13"/>
      <c r="R458" s="13"/>
    </row>
    <row r="459" ht="15" customHeight="1" s="4" customFormat="1">
      <c r="A459" s="9"/>
      <c r="B459" s="10"/>
      <c r="C459" s="11"/>
      <c r="D459" s="11"/>
      <c r="E459" s="9"/>
      <c r="F459" s="12"/>
      <c r="G459" s="12"/>
      <c r="H459" s="11"/>
      <c r="I459" s="11"/>
      <c r="J459" s="11"/>
      <c r="K459" s="11"/>
      <c r="L459" s="11"/>
      <c r="M459" s="11"/>
      <c r="N459" s="11"/>
      <c r="O459" s="11"/>
      <c r="P459" s="12"/>
      <c r="Q459" s="13"/>
      <c r="R459" s="13"/>
    </row>
    <row r="460" ht="15" customHeight="1" s="4" customFormat="1">
      <c r="A460" s="9"/>
      <c r="B460" s="10"/>
      <c r="C460" s="11"/>
      <c r="D460" s="11"/>
      <c r="E460" s="9"/>
      <c r="F460" s="12"/>
      <c r="G460" s="12"/>
      <c r="H460" s="11"/>
      <c r="I460" s="11"/>
      <c r="J460" s="11"/>
      <c r="K460" s="11"/>
      <c r="L460" s="11"/>
      <c r="M460" s="11"/>
      <c r="N460" s="11"/>
      <c r="O460" s="11"/>
      <c r="P460" s="12"/>
      <c r="Q460" s="13"/>
      <c r="R460" s="13"/>
    </row>
    <row r="461" ht="15" customHeight="1" s="4" customFormat="1">
      <c r="A461" s="9"/>
      <c r="B461" s="10"/>
      <c r="C461" s="11"/>
      <c r="D461" s="11"/>
      <c r="E461" s="9"/>
      <c r="F461" s="12"/>
      <c r="G461" s="12"/>
      <c r="H461" s="11"/>
      <c r="I461" s="11"/>
      <c r="J461" s="11"/>
      <c r="K461" s="11"/>
      <c r="L461" s="11"/>
      <c r="M461" s="11"/>
      <c r="N461" s="11"/>
      <c r="O461" s="11"/>
      <c r="P461" s="12"/>
      <c r="Q461" s="13"/>
      <c r="R461" s="13"/>
    </row>
    <row r="462" ht="15" customHeight="1" s="4" customFormat="1">
      <c r="A462" s="9"/>
      <c r="B462" s="10"/>
      <c r="C462" s="11"/>
      <c r="D462" s="11"/>
      <c r="E462" s="9"/>
      <c r="F462" s="12"/>
      <c r="G462" s="12"/>
      <c r="H462" s="11"/>
      <c r="I462" s="11"/>
      <c r="J462" s="11"/>
      <c r="K462" s="11"/>
      <c r="L462" s="11"/>
      <c r="M462" s="11"/>
      <c r="N462" s="11"/>
      <c r="O462" s="11"/>
      <c r="P462" s="12"/>
      <c r="Q462" s="13"/>
      <c r="R462" s="13"/>
    </row>
    <row r="463" ht="15" customHeight="1" s="4" customFormat="1">
      <c r="A463" s="9"/>
      <c r="B463" s="10"/>
      <c r="C463" s="11"/>
      <c r="D463" s="11"/>
      <c r="E463" s="9"/>
      <c r="F463" s="12"/>
      <c r="G463" s="12"/>
      <c r="H463" s="11"/>
      <c r="I463" s="11"/>
      <c r="J463" s="11"/>
      <c r="K463" s="11"/>
      <c r="L463" s="11"/>
      <c r="M463" s="11"/>
      <c r="N463" s="11"/>
      <c r="O463" s="11"/>
      <c r="P463" s="12"/>
      <c r="Q463" s="13"/>
      <c r="R463" s="13"/>
    </row>
    <row r="464" ht="15" customHeight="1" s="4" customFormat="1">
      <c r="A464" s="9"/>
      <c r="B464" s="10"/>
      <c r="C464" s="11"/>
      <c r="D464" s="11"/>
      <c r="E464" s="9"/>
      <c r="F464" s="12"/>
      <c r="G464" s="12"/>
      <c r="H464" s="11"/>
      <c r="I464" s="11"/>
      <c r="J464" s="11"/>
      <c r="K464" s="11"/>
      <c r="L464" s="11"/>
      <c r="M464" s="11"/>
      <c r="N464" s="11"/>
      <c r="O464" s="11"/>
      <c r="P464" s="12"/>
      <c r="Q464" s="13"/>
      <c r="R464" s="13"/>
    </row>
    <row r="465" ht="15" customHeight="1" s="4" customFormat="1">
      <c r="A465" s="9"/>
      <c r="B465" s="10"/>
      <c r="C465" s="11"/>
      <c r="D465" s="11"/>
      <c r="E465" s="9"/>
      <c r="F465" s="12"/>
      <c r="G465" s="12"/>
      <c r="H465" s="11"/>
      <c r="I465" s="11"/>
      <c r="J465" s="11"/>
      <c r="K465" s="11"/>
      <c r="L465" s="11"/>
      <c r="M465" s="11"/>
      <c r="N465" s="11"/>
      <c r="O465" s="11"/>
      <c r="P465" s="12"/>
      <c r="Q465" s="13"/>
      <c r="R465" s="13"/>
    </row>
    <row r="466" ht="15" customHeight="1" s="4" customFormat="1">
      <c r="A466" s="9"/>
      <c r="B466" s="10"/>
      <c r="C466" s="11"/>
      <c r="D466" s="11"/>
      <c r="E466" s="9"/>
      <c r="F466" s="12"/>
      <c r="G466" s="12"/>
      <c r="H466" s="11"/>
      <c r="I466" s="11"/>
      <c r="J466" s="11"/>
      <c r="K466" s="11"/>
      <c r="L466" s="11"/>
      <c r="M466" s="11"/>
      <c r="N466" s="11"/>
      <c r="O466" s="11"/>
      <c r="P466" s="12"/>
      <c r="Q466" s="13"/>
      <c r="R466" s="13"/>
    </row>
    <row r="467" ht="15" customHeight="1" s="4" customFormat="1">
      <c r="A467" s="9"/>
      <c r="B467" s="10"/>
      <c r="C467" s="11"/>
      <c r="D467" s="11"/>
      <c r="E467" s="9"/>
      <c r="F467" s="12"/>
      <c r="G467" s="12"/>
      <c r="H467" s="11"/>
      <c r="I467" s="11"/>
      <c r="J467" s="11"/>
      <c r="K467" s="11"/>
      <c r="L467" s="11"/>
      <c r="M467" s="11"/>
      <c r="N467" s="11"/>
      <c r="O467" s="11"/>
      <c r="P467" s="12"/>
      <c r="Q467" s="13"/>
      <c r="R467" s="13"/>
    </row>
    <row r="468" ht="15" customHeight="1" s="4" customFormat="1">
      <c r="A468" s="9"/>
      <c r="B468" s="10"/>
      <c r="C468" s="11"/>
      <c r="D468" s="11"/>
      <c r="E468" s="9"/>
      <c r="F468" s="12"/>
      <c r="G468" s="12"/>
      <c r="H468" s="11"/>
      <c r="I468" s="11"/>
      <c r="J468" s="11"/>
      <c r="K468" s="11"/>
      <c r="L468" s="11"/>
      <c r="M468" s="11"/>
      <c r="N468" s="11"/>
      <c r="O468" s="11"/>
      <c r="P468" s="12"/>
      <c r="Q468" s="13"/>
      <c r="R468" s="13"/>
    </row>
    <row r="469" ht="15" customHeight="1" s="4" customFormat="1">
      <c r="A469" s="9"/>
      <c r="B469" s="10"/>
      <c r="C469" s="11"/>
      <c r="D469" s="11"/>
      <c r="E469" s="9"/>
      <c r="F469" s="12"/>
      <c r="G469" s="12"/>
      <c r="H469" s="11"/>
      <c r="I469" s="11"/>
      <c r="J469" s="11"/>
      <c r="K469" s="11"/>
      <c r="L469" s="11"/>
      <c r="M469" s="11"/>
      <c r="N469" s="11"/>
      <c r="O469" s="11"/>
      <c r="P469" s="12"/>
      <c r="Q469" s="13"/>
      <c r="R469" s="13"/>
    </row>
    <row r="470" ht="15" customHeight="1" s="4" customFormat="1">
      <c r="A470" s="9"/>
      <c r="B470" s="10"/>
      <c r="C470" s="11"/>
      <c r="D470" s="11"/>
      <c r="E470" s="9"/>
      <c r="F470" s="12"/>
      <c r="G470" s="12"/>
      <c r="H470" s="11"/>
      <c r="I470" s="11"/>
      <c r="J470" s="11"/>
      <c r="K470" s="11"/>
      <c r="L470" s="11"/>
      <c r="M470" s="11"/>
      <c r="N470" s="11"/>
      <c r="O470" s="11"/>
      <c r="P470" s="12"/>
      <c r="Q470" s="13"/>
      <c r="R470" s="13"/>
    </row>
    <row r="471" ht="15" customHeight="1" s="4" customFormat="1">
      <c r="A471" s="9"/>
      <c r="B471" s="10"/>
      <c r="C471" s="11"/>
      <c r="D471" s="11"/>
      <c r="E471" s="9"/>
      <c r="F471" s="12"/>
      <c r="G471" s="12"/>
      <c r="H471" s="11"/>
      <c r="I471" s="11"/>
      <c r="J471" s="11"/>
      <c r="K471" s="11"/>
      <c r="L471" s="11"/>
      <c r="M471" s="11"/>
      <c r="N471" s="11"/>
      <c r="O471" s="11"/>
      <c r="P471" s="12"/>
      <c r="Q471" s="13"/>
      <c r="R471" s="13"/>
    </row>
    <row r="472" ht="15" customHeight="1" s="4" customFormat="1">
      <c r="A472" s="9"/>
      <c r="B472" s="10"/>
      <c r="C472" s="11"/>
      <c r="D472" s="11"/>
      <c r="E472" s="9"/>
      <c r="F472" s="12"/>
      <c r="G472" s="12"/>
      <c r="H472" s="11"/>
      <c r="I472" s="11"/>
      <c r="J472" s="11"/>
      <c r="K472" s="11"/>
      <c r="L472" s="11"/>
      <c r="M472" s="11"/>
      <c r="N472" s="11"/>
      <c r="O472" s="11"/>
      <c r="P472" s="12"/>
      <c r="Q472" s="13"/>
      <c r="R472" s="13"/>
    </row>
    <row r="473" ht="15" customHeight="1" s="4" customFormat="1">
      <c r="A473" s="9"/>
      <c r="B473" s="10"/>
      <c r="C473" s="11"/>
      <c r="D473" s="11"/>
      <c r="E473" s="9"/>
      <c r="F473" s="12"/>
      <c r="G473" s="12"/>
      <c r="H473" s="11"/>
      <c r="I473" s="11"/>
      <c r="J473" s="11"/>
      <c r="K473" s="11"/>
      <c r="L473" s="11"/>
      <c r="M473" s="11"/>
      <c r="N473" s="11"/>
      <c r="O473" s="11"/>
      <c r="P473" s="12"/>
      <c r="Q473" s="13"/>
      <c r="R473" s="13"/>
    </row>
    <row r="474" ht="15" customHeight="1" s="4" customFormat="1">
      <c r="A474" s="9"/>
      <c r="B474" s="10"/>
      <c r="C474" s="11"/>
      <c r="D474" s="11"/>
      <c r="E474" s="9"/>
      <c r="F474" s="12"/>
      <c r="G474" s="12"/>
      <c r="H474" s="11"/>
      <c r="I474" s="11"/>
      <c r="J474" s="11"/>
      <c r="K474" s="11"/>
      <c r="L474" s="11"/>
      <c r="M474" s="11"/>
      <c r="N474" s="11"/>
      <c r="O474" s="11"/>
      <c r="P474" s="12"/>
      <c r="Q474" s="13"/>
      <c r="R474" s="13"/>
    </row>
    <row r="475" ht="15" customHeight="1" s="4" customFormat="1">
      <c r="A475" s="9"/>
      <c r="B475" s="10"/>
      <c r="C475" s="11"/>
      <c r="D475" s="11"/>
      <c r="E475" s="9"/>
      <c r="F475" s="12"/>
      <c r="G475" s="12"/>
      <c r="H475" s="11"/>
      <c r="I475" s="11"/>
      <c r="J475" s="11"/>
      <c r="K475" s="11"/>
      <c r="L475" s="11"/>
      <c r="M475" s="11"/>
      <c r="N475" s="11"/>
      <c r="O475" s="11"/>
      <c r="P475" s="12"/>
      <c r="Q475" s="13"/>
      <c r="R475" s="13"/>
    </row>
    <row r="476" ht="15" customHeight="1" s="4" customFormat="1">
      <c r="A476" s="9"/>
      <c r="B476" s="10"/>
      <c r="C476" s="11"/>
      <c r="D476" s="11"/>
      <c r="E476" s="9"/>
      <c r="F476" s="12"/>
      <c r="G476" s="12"/>
      <c r="H476" s="11"/>
      <c r="I476" s="11"/>
      <c r="J476" s="11"/>
      <c r="K476" s="11"/>
      <c r="L476" s="11"/>
      <c r="M476" s="11"/>
      <c r="N476" s="11"/>
      <c r="O476" s="11"/>
      <c r="P476" s="12"/>
      <c r="Q476" s="13"/>
      <c r="R476" s="13"/>
    </row>
    <row r="477" ht="15" customHeight="1" s="4" customFormat="1">
      <c r="A477" s="9"/>
      <c r="B477" s="10"/>
      <c r="C477" s="11"/>
      <c r="D477" s="11"/>
      <c r="E477" s="9"/>
      <c r="F477" s="12"/>
      <c r="G477" s="12"/>
      <c r="H477" s="11"/>
      <c r="I477" s="11"/>
      <c r="J477" s="11"/>
      <c r="K477" s="11"/>
      <c r="L477" s="11"/>
      <c r="M477" s="11"/>
      <c r="N477" s="11"/>
      <c r="O477" s="11"/>
      <c r="P477" s="12"/>
      <c r="Q477" s="13"/>
      <c r="R477" s="13"/>
    </row>
    <row r="478" ht="15" customHeight="1" s="4" customFormat="1">
      <c r="A478" s="9"/>
      <c r="B478" s="10"/>
      <c r="C478" s="11"/>
      <c r="D478" s="11"/>
      <c r="E478" s="9"/>
      <c r="F478" s="12"/>
      <c r="G478" s="12"/>
      <c r="H478" s="11"/>
      <c r="I478" s="11"/>
      <c r="J478" s="11"/>
      <c r="K478" s="11"/>
      <c r="L478" s="11"/>
      <c r="M478" s="11"/>
      <c r="N478" s="11"/>
      <c r="O478" s="11"/>
      <c r="P478" s="12"/>
      <c r="Q478" s="13"/>
      <c r="R478" s="13"/>
    </row>
    <row r="479" ht="15" customHeight="1" s="4" customFormat="1">
      <c r="A479" s="9"/>
      <c r="B479" s="10"/>
      <c r="C479" s="11"/>
      <c r="D479" s="11"/>
      <c r="E479" s="9"/>
      <c r="F479" s="12"/>
      <c r="G479" s="12"/>
      <c r="H479" s="11"/>
      <c r="I479" s="11"/>
      <c r="J479" s="11"/>
      <c r="K479" s="11"/>
      <c r="L479" s="11"/>
      <c r="M479" s="11"/>
      <c r="N479" s="11"/>
      <c r="O479" s="11"/>
      <c r="P479" s="12"/>
      <c r="Q479" s="13"/>
      <c r="R479" s="13"/>
    </row>
    <row r="480" ht="15" customHeight="1" s="4" customFormat="1">
      <c r="A480" s="9"/>
      <c r="B480" s="10"/>
      <c r="C480" s="11"/>
      <c r="D480" s="11"/>
      <c r="E480" s="9"/>
      <c r="F480" s="12"/>
      <c r="G480" s="12"/>
      <c r="H480" s="11"/>
      <c r="I480" s="11"/>
      <c r="J480" s="11"/>
      <c r="K480" s="11"/>
      <c r="L480" s="11"/>
      <c r="M480" s="11"/>
      <c r="N480" s="11"/>
      <c r="O480" s="11"/>
      <c r="P480" s="12"/>
      <c r="Q480" s="13"/>
      <c r="R480" s="13"/>
    </row>
    <row r="481" ht="15" customHeight="1" s="4" customFormat="1">
      <c r="A481" s="9"/>
      <c r="B481" s="10"/>
      <c r="C481" s="11"/>
      <c r="D481" s="11"/>
      <c r="E481" s="9"/>
      <c r="F481" s="12"/>
      <c r="G481" s="12"/>
      <c r="H481" s="11"/>
      <c r="I481" s="11"/>
      <c r="J481" s="11"/>
      <c r="K481" s="11"/>
      <c r="L481" s="11"/>
      <c r="M481" s="11"/>
      <c r="N481" s="11"/>
      <c r="O481" s="11"/>
      <c r="P481" s="12"/>
      <c r="Q481" s="13"/>
      <c r="R481" s="13"/>
    </row>
    <row r="482" ht="15" customHeight="1" s="4" customFormat="1">
      <c r="A482" s="9"/>
      <c r="B482" s="10"/>
      <c r="C482" s="11"/>
      <c r="D482" s="11"/>
      <c r="E482" s="9"/>
      <c r="F482" s="12"/>
      <c r="G482" s="12"/>
      <c r="H482" s="11"/>
      <c r="I482" s="11"/>
      <c r="J482" s="11"/>
      <c r="K482" s="11"/>
      <c r="L482" s="11"/>
      <c r="M482" s="11"/>
      <c r="N482" s="11"/>
      <c r="O482" s="11"/>
      <c r="P482" s="12"/>
      <c r="Q482" s="13"/>
      <c r="R482" s="13"/>
    </row>
    <row r="483" ht="15" customHeight="1" s="4" customFormat="1">
      <c r="A483" s="9"/>
      <c r="B483" s="10"/>
      <c r="C483" s="11"/>
      <c r="D483" s="11"/>
      <c r="E483" s="9"/>
      <c r="F483" s="12"/>
      <c r="G483" s="12"/>
      <c r="H483" s="11"/>
      <c r="I483" s="11"/>
      <c r="J483" s="11"/>
      <c r="K483" s="11"/>
      <c r="L483" s="11"/>
      <c r="M483" s="11"/>
      <c r="N483" s="11"/>
      <c r="O483" s="11"/>
      <c r="P483" s="12"/>
      <c r="Q483" s="13"/>
      <c r="R483" s="13"/>
    </row>
    <row r="484" ht="15" customHeight="1" s="4" customFormat="1">
      <c r="A484" s="9"/>
      <c r="B484" s="10"/>
      <c r="C484" s="11"/>
      <c r="D484" s="11"/>
      <c r="E484" s="9"/>
      <c r="F484" s="12"/>
      <c r="G484" s="12"/>
      <c r="H484" s="11"/>
      <c r="I484" s="11"/>
      <c r="J484" s="11"/>
      <c r="K484" s="11"/>
      <c r="L484" s="11"/>
      <c r="M484" s="11"/>
      <c r="N484" s="11"/>
      <c r="O484" s="11"/>
      <c r="P484" s="12"/>
      <c r="Q484" s="13"/>
      <c r="R484" s="13"/>
    </row>
    <row r="485" ht="15" customHeight="1" s="4" customFormat="1">
      <c r="A485" s="9"/>
      <c r="B485" s="10"/>
      <c r="C485" s="11"/>
      <c r="D485" s="11"/>
      <c r="E485" s="9"/>
      <c r="F485" s="12"/>
      <c r="G485" s="12"/>
      <c r="H485" s="11"/>
      <c r="I485" s="11"/>
      <c r="J485" s="11"/>
      <c r="K485" s="11"/>
      <c r="L485" s="11"/>
      <c r="M485" s="11"/>
      <c r="N485" s="11"/>
      <c r="O485" s="11"/>
      <c r="P485" s="12"/>
      <c r="Q485" s="13"/>
      <c r="R485" s="13"/>
    </row>
    <row r="486" ht="15" customHeight="1" s="4" customFormat="1">
      <c r="A486" s="9"/>
      <c r="B486" s="10"/>
      <c r="C486" s="11"/>
      <c r="D486" s="11"/>
      <c r="E486" s="9"/>
      <c r="F486" s="12"/>
      <c r="G486" s="12"/>
      <c r="H486" s="11"/>
      <c r="I486" s="11"/>
      <c r="J486" s="11"/>
      <c r="K486" s="11"/>
      <c r="L486" s="11"/>
      <c r="M486" s="11"/>
      <c r="N486" s="11"/>
      <c r="O486" s="11"/>
      <c r="P486" s="12"/>
      <c r="Q486" s="13"/>
      <c r="R486" s="13"/>
    </row>
    <row r="487" ht="15" customHeight="1" s="4" customFormat="1">
      <c r="A487" s="9"/>
      <c r="B487" s="10"/>
      <c r="C487" s="11"/>
      <c r="D487" s="11"/>
      <c r="E487" s="9"/>
      <c r="F487" s="12"/>
      <c r="G487" s="12"/>
      <c r="H487" s="11"/>
      <c r="I487" s="11"/>
      <c r="J487" s="11"/>
      <c r="K487" s="11"/>
      <c r="L487" s="11"/>
      <c r="M487" s="11"/>
      <c r="N487" s="11"/>
      <c r="O487" s="11"/>
      <c r="P487" s="12"/>
      <c r="Q487" s="13"/>
      <c r="R487" s="13"/>
    </row>
    <row r="488" ht="15" customHeight="1" s="4" customFormat="1">
      <c r="A488" s="9"/>
      <c r="B488" s="10"/>
      <c r="C488" s="11"/>
      <c r="D488" s="11"/>
      <c r="E488" s="9"/>
      <c r="F488" s="12"/>
      <c r="G488" s="12"/>
      <c r="H488" s="11"/>
      <c r="I488" s="11"/>
      <c r="J488" s="11"/>
      <c r="K488" s="11"/>
      <c r="L488" s="11"/>
      <c r="M488" s="11"/>
      <c r="N488" s="11"/>
      <c r="O488" s="11"/>
      <c r="P488" s="12"/>
      <c r="Q488" s="13"/>
      <c r="R488" s="13"/>
    </row>
    <row r="489" ht="15" customHeight="1" s="4" customFormat="1">
      <c r="A489" s="9"/>
      <c r="B489" s="10"/>
      <c r="C489" s="11"/>
      <c r="D489" s="11"/>
      <c r="E489" s="9"/>
      <c r="F489" s="12"/>
      <c r="G489" s="12"/>
      <c r="H489" s="11"/>
      <c r="I489" s="11"/>
      <c r="J489" s="11"/>
      <c r="K489" s="11"/>
      <c r="L489" s="11"/>
      <c r="M489" s="11"/>
      <c r="N489" s="11"/>
      <c r="O489" s="11"/>
      <c r="P489" s="12"/>
      <c r="Q489" s="13"/>
      <c r="R489" s="13"/>
    </row>
    <row r="490" ht="15" customHeight="1" s="4" customFormat="1">
      <c r="A490" s="9"/>
      <c r="B490" s="10"/>
      <c r="C490" s="11"/>
      <c r="D490" s="11"/>
      <c r="E490" s="9"/>
      <c r="F490" s="12"/>
      <c r="G490" s="12"/>
      <c r="H490" s="11"/>
      <c r="I490" s="11"/>
      <c r="J490" s="11"/>
      <c r="K490" s="11"/>
      <c r="L490" s="11"/>
      <c r="M490" s="11"/>
      <c r="N490" s="11"/>
      <c r="O490" s="11"/>
      <c r="P490" s="12"/>
      <c r="Q490" s="13"/>
      <c r="R490" s="13"/>
    </row>
    <row r="491" ht="15" customHeight="1" s="4" customFormat="1">
      <c r="A491" s="9"/>
      <c r="B491" s="10"/>
      <c r="C491" s="11"/>
      <c r="D491" s="11"/>
      <c r="E491" s="9"/>
      <c r="F491" s="12"/>
      <c r="G491" s="12"/>
      <c r="H491" s="11"/>
      <c r="I491" s="11"/>
      <c r="J491" s="11"/>
      <c r="K491" s="11"/>
      <c r="L491" s="11"/>
      <c r="M491" s="11"/>
      <c r="N491" s="11"/>
      <c r="O491" s="11"/>
      <c r="P491" s="12"/>
      <c r="Q491" s="13"/>
      <c r="R491" s="13"/>
    </row>
    <row r="492" ht="15" customHeight="1" s="4" customFormat="1">
      <c r="A492" s="9"/>
      <c r="B492" s="10"/>
      <c r="C492" s="11"/>
      <c r="D492" s="11"/>
      <c r="E492" s="9"/>
      <c r="F492" s="12"/>
      <c r="G492" s="12"/>
      <c r="H492" s="11"/>
      <c r="I492" s="11"/>
      <c r="J492" s="11"/>
      <c r="K492" s="11"/>
      <c r="L492" s="11"/>
      <c r="M492" s="11"/>
      <c r="N492" s="11"/>
      <c r="O492" s="11"/>
      <c r="P492" s="12"/>
      <c r="Q492" s="13"/>
      <c r="R492" s="13"/>
    </row>
    <row r="493" ht="15" customHeight="1" s="4" customFormat="1">
      <c r="A493" s="9"/>
      <c r="B493" s="10"/>
      <c r="C493" s="11"/>
      <c r="D493" s="11"/>
      <c r="E493" s="9"/>
      <c r="F493" s="12"/>
      <c r="G493" s="12"/>
      <c r="H493" s="11"/>
      <c r="I493" s="11"/>
      <c r="J493" s="11"/>
      <c r="K493" s="11"/>
      <c r="L493" s="11"/>
      <c r="M493" s="11"/>
      <c r="N493" s="11"/>
      <c r="O493" s="11"/>
      <c r="P493" s="12"/>
      <c r="Q493" s="13"/>
      <c r="R493" s="13"/>
    </row>
    <row r="494" ht="15" customHeight="1" s="4" customFormat="1">
      <c r="A494" s="9"/>
      <c r="B494" s="10"/>
      <c r="C494" s="11"/>
      <c r="D494" s="11"/>
      <c r="E494" s="9"/>
      <c r="F494" s="12"/>
      <c r="G494" s="12"/>
      <c r="H494" s="11"/>
      <c r="I494" s="11"/>
      <c r="J494" s="11"/>
      <c r="K494" s="11"/>
      <c r="L494" s="11"/>
      <c r="M494" s="11"/>
      <c r="N494" s="11"/>
      <c r="O494" s="11"/>
      <c r="P494" s="12"/>
      <c r="Q494" s="13"/>
      <c r="R494" s="13"/>
    </row>
    <row r="495" ht="15" customHeight="1" s="4" customFormat="1">
      <c r="A495" s="9"/>
      <c r="B495" s="10"/>
      <c r="C495" s="11"/>
      <c r="D495" s="11"/>
      <c r="E495" s="9"/>
      <c r="F495" s="12"/>
      <c r="G495" s="12"/>
      <c r="H495" s="11"/>
      <c r="I495" s="11"/>
      <c r="J495" s="11"/>
      <c r="K495" s="11"/>
      <c r="L495" s="11"/>
      <c r="M495" s="11"/>
      <c r="N495" s="11"/>
      <c r="O495" s="11"/>
      <c r="P495" s="12"/>
      <c r="Q495" s="13"/>
      <c r="R495" s="13"/>
    </row>
    <row r="496" ht="15" customHeight="1" s="4" customFormat="1">
      <c r="A496" s="9"/>
      <c r="B496" s="10"/>
      <c r="C496" s="11"/>
      <c r="D496" s="11"/>
      <c r="E496" s="9"/>
      <c r="F496" s="12"/>
      <c r="G496" s="12"/>
      <c r="H496" s="11"/>
      <c r="I496" s="11"/>
      <c r="J496" s="11"/>
      <c r="K496" s="11"/>
      <c r="L496" s="11"/>
      <c r="M496" s="11"/>
      <c r="N496" s="11"/>
      <c r="O496" s="11"/>
      <c r="P496" s="12"/>
      <c r="Q496" s="13"/>
      <c r="R496" s="13"/>
    </row>
    <row r="497" ht="15" customHeight="1" s="4" customFormat="1">
      <c r="A497" s="9"/>
      <c r="B497" s="10"/>
      <c r="C497" s="11"/>
      <c r="D497" s="11"/>
      <c r="E497" s="9"/>
      <c r="F497" s="12"/>
      <c r="G497" s="12"/>
      <c r="H497" s="11"/>
      <c r="I497" s="11"/>
      <c r="J497" s="11"/>
      <c r="K497" s="11"/>
      <c r="L497" s="11"/>
      <c r="M497" s="11"/>
      <c r="N497" s="11"/>
      <c r="O497" s="11"/>
      <c r="P497" s="12"/>
      <c r="Q497" s="13"/>
      <c r="R497" s="13"/>
    </row>
    <row r="498" ht="15" customHeight="1" s="4" customFormat="1">
      <c r="A498" s="9"/>
      <c r="B498" s="10"/>
      <c r="C498" s="11"/>
      <c r="D498" s="11"/>
      <c r="E498" s="9"/>
      <c r="F498" s="12"/>
      <c r="G498" s="12"/>
      <c r="H498" s="11"/>
      <c r="I498" s="11"/>
      <c r="J498" s="11"/>
      <c r="K498" s="11"/>
      <c r="L498" s="11"/>
      <c r="M498" s="11"/>
      <c r="N498" s="11"/>
      <c r="O498" s="11"/>
      <c r="P498" s="12"/>
      <c r="Q498" s="13"/>
      <c r="R498" s="13"/>
    </row>
    <row r="499" ht="15" customHeight="1" s="4" customFormat="1">
      <c r="A499" s="9"/>
      <c r="B499" s="10"/>
      <c r="C499" s="11"/>
      <c r="D499" s="11"/>
      <c r="E499" s="9"/>
      <c r="F499" s="12"/>
      <c r="G499" s="12"/>
      <c r="H499" s="11"/>
      <c r="I499" s="11"/>
      <c r="J499" s="11"/>
      <c r="K499" s="11"/>
      <c r="L499" s="11"/>
      <c r="M499" s="11"/>
      <c r="N499" s="11"/>
      <c r="O499" s="11"/>
      <c r="P499" s="12"/>
      <c r="Q499" s="13"/>
      <c r="R499" s="13"/>
    </row>
    <row r="500" ht="15" customHeight="1" s="4" customFormat="1">
      <c r="A500" s="9"/>
      <c r="B500" s="10"/>
      <c r="C500" s="11"/>
      <c r="D500" s="11"/>
      <c r="E500" s="9"/>
      <c r="F500" s="12"/>
      <c r="G500" s="12"/>
      <c r="H500" s="11"/>
      <c r="I500" s="11"/>
      <c r="J500" s="11"/>
      <c r="K500" s="11"/>
      <c r="L500" s="11"/>
      <c r="M500" s="11"/>
      <c r="N500" s="11"/>
      <c r="O500" s="11"/>
      <c r="P500" s="12"/>
      <c r="Q500" s="13"/>
      <c r="R500" s="13"/>
    </row>
  </sheetData>
  <autoFilter ref="A3:R40" xr:uid="{D5E49EA8-EF54-4571-AB5E-D908C32C56D2}"/>
  <mergeCells>
    <mergeCell ref="B2:R2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9812A-6C29-4CC8-A3BB-875C9F33EBC6}">
  <sheetPr codeName="Sheet2"/>
  <dimension ref="A1:S500"/>
  <sheetViews>
    <sheetView workbookViewId="0">
      <selection activeCell="A7" sqref="A7"/>
    </sheetView>
  </sheetViews>
  <sheetFormatPr defaultColWidth="9.109375" defaultRowHeight="13.2" x14ac:dyDescent="0.25"/>
  <cols>
    <col min="1" max="1" width="30.5546875" customWidth="1" style="3"/>
    <col min="2" max="2" width="14.44140625" customWidth="1" style="3"/>
    <col min="3" max="3" width="11.88671875" customWidth="1" style="3"/>
    <col min="4" max="4" width="18.5546875" customWidth="1" style="3"/>
    <col min="5" max="5" width="20" customWidth="1" style="3"/>
    <col min="6" max="6" width="11.33203125" customWidth="1" style="3"/>
    <col min="7" max="7" width="11.33203125" customWidth="1" style="3"/>
    <col min="8" max="8" width="13.6640625" customWidth="1" style="3"/>
    <col min="9" max="9" width="18.5546875" customWidth="1" style="3"/>
    <col min="10" max="10" width="19.5546875" customWidth="1" style="3"/>
    <col min="11" max="11" width="17.6640625" customWidth="1" style="3"/>
    <col min="12" max="12" width="22.33203125" customWidth="1" style="3"/>
    <col min="13" max="13" width="15.33203125" customWidth="1" style="3"/>
    <col min="14" max="14" width="23.109375" customWidth="1" style="3"/>
    <col min="15" max="15" width="18.88671875" customWidth="1" style="3"/>
    <col min="16" max="16" width="26" customWidth="1" style="3"/>
    <col min="17" max="17" width="30.88671875" customWidth="1" style="3"/>
    <col min="18" max="18" bestFit="1" width="36.5546875" customWidth="1" style="3"/>
    <col min="19" max="19" width="22" customWidth="1" style="3"/>
    <col min="20" max="16384" width="9.109375" customWidth="1" style="3"/>
  </cols>
  <sheetData>
    <row r="1" ht="15" customHeight="1" s="4" customFormat="1">
      <c r="A1" s="5"/>
    </row>
    <row r="2" ht="25.5" customHeight="1" s="4" customFormat="1">
      <c r="A2" s="6" t="s">
        <v>0</v>
      </c>
      <c r="B2" s="7" t="s">
        <v>1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</row>
    <row r="3" ht="15" customHeight="1" s="4" customFormat="1">
      <c r="A3" s="8" t="s">
        <v>2</v>
      </c>
      <c r="B3" s="8" t="s">
        <v>6</v>
      </c>
      <c r="C3" s="8" t="s">
        <v>3</v>
      </c>
      <c r="D3" s="8" t="s">
        <v>25</v>
      </c>
      <c r="E3" s="8" t="s">
        <v>26</v>
      </c>
      <c r="F3" s="8" t="s">
        <v>27</v>
      </c>
      <c r="G3" s="8" t="s">
        <v>28</v>
      </c>
      <c r="H3" s="8" t="s">
        <v>5</v>
      </c>
      <c r="I3" s="8" t="s">
        <v>12</v>
      </c>
      <c r="J3" s="8" t="s">
        <v>29</v>
      </c>
      <c r="K3" s="8" t="s">
        <v>30</v>
      </c>
      <c r="L3" s="8" t="s">
        <v>31</v>
      </c>
      <c r="M3" s="8" t="s">
        <v>17</v>
      </c>
      <c r="N3" s="8" t="s">
        <v>32</v>
      </c>
      <c r="O3" s="8" t="s">
        <v>18</v>
      </c>
      <c r="P3" s="8" t="s">
        <v>33</v>
      </c>
      <c r="Q3" s="8" t="s">
        <v>34</v>
      </c>
      <c r="R3" s="8" t="s">
        <v>35</v>
      </c>
      <c r="S3" s="8" t="s">
        <v>36</v>
      </c>
    </row>
    <row r="4" ht="15" customHeight="1" s="4" customFormat="1">
      <c r="A4" s="9">
        <v>45875</v>
      </c>
      <c r="B4" s="11">
        <v>45818</v>
      </c>
      <c r="C4" s="74">
        <v>102702</v>
      </c>
      <c r="D4" s="11" t="s">
        <v>20</v>
      </c>
      <c r="E4" s="11" t="s">
        <v>37</v>
      </c>
      <c r="F4" s="11" t="s">
        <v>38</v>
      </c>
      <c r="G4" s="73">
        <v>4</v>
      </c>
      <c r="H4" s="11" t="s">
        <v>21</v>
      </c>
      <c r="I4" s="11" t="s">
        <v>24</v>
      </c>
      <c r="J4" s="74">
        <v>9</v>
      </c>
      <c r="K4" s="74">
        <v>25</v>
      </c>
      <c r="L4" s="11" t="s">
        <v>20</v>
      </c>
      <c r="M4" s="12" t="s">
        <v>20</v>
      </c>
      <c r="N4" s="11" t="s">
        <v>22</v>
      </c>
      <c r="O4" s="73">
        <v>6064</v>
      </c>
      <c r="P4" s="73">
        <v>-1212800</v>
      </c>
      <c r="Q4" s="73">
        <v>-1212800</v>
      </c>
      <c r="R4" s="73">
        <v>0</v>
      </c>
      <c r="S4" s="73">
        <v>0</v>
      </c>
    </row>
    <row r="5" ht="15" customHeight="1" s="4" customFormat="1">
      <c r="A5" s="9">
        <v>45875</v>
      </c>
      <c r="B5" s="11">
        <v>45875</v>
      </c>
      <c r="C5" s="74">
        <v>102702</v>
      </c>
      <c r="D5" s="11" t="s">
        <v>20</v>
      </c>
      <c r="E5" s="11" t="s">
        <v>37</v>
      </c>
      <c r="F5" s="11" t="s">
        <v>39</v>
      </c>
      <c r="G5" s="73">
        <v>4</v>
      </c>
      <c r="H5" s="11" t="s">
        <v>21</v>
      </c>
      <c r="I5" s="11" t="s">
        <v>24</v>
      </c>
      <c r="J5" s="74">
        <v>9</v>
      </c>
      <c r="K5" s="74">
        <v>25</v>
      </c>
      <c r="L5" s="11" t="s">
        <v>20</v>
      </c>
      <c r="M5" s="12" t="s">
        <v>20</v>
      </c>
      <c r="N5" s="11" t="s">
        <v>22</v>
      </c>
      <c r="O5" s="75">
        <v>6327.25</v>
      </c>
      <c r="P5" s="73">
        <v>1265450</v>
      </c>
      <c r="Q5" s="73">
        <v>1265450</v>
      </c>
      <c r="R5" s="73">
        <v>0</v>
      </c>
      <c r="S5" s="73">
        <v>0</v>
      </c>
    </row>
    <row r="6" ht="15" customHeight="1" s="4" customFormat="1">
      <c r="A6" s="9">
        <v>45875</v>
      </c>
      <c r="B6" s="11">
        <v>45818</v>
      </c>
      <c r="C6" s="74">
        <v>102703</v>
      </c>
      <c r="D6" s="11" t="s">
        <v>20</v>
      </c>
      <c r="E6" s="11" t="s">
        <v>37</v>
      </c>
      <c r="F6" s="11" t="s">
        <v>38</v>
      </c>
      <c r="G6" s="73">
        <v>1</v>
      </c>
      <c r="H6" s="11" t="s">
        <v>21</v>
      </c>
      <c r="I6" s="11" t="s">
        <v>24</v>
      </c>
      <c r="J6" s="74">
        <v>9</v>
      </c>
      <c r="K6" s="74">
        <v>25</v>
      </c>
      <c r="L6" s="11" t="s">
        <v>20</v>
      </c>
      <c r="M6" s="12" t="s">
        <v>20</v>
      </c>
      <c r="N6" s="11" t="s">
        <v>22</v>
      </c>
      <c r="O6" s="73">
        <v>6064</v>
      </c>
      <c r="P6" s="73">
        <v>-303200</v>
      </c>
      <c r="Q6" s="73">
        <v>-303200</v>
      </c>
      <c r="R6" s="73">
        <v>0</v>
      </c>
      <c r="S6" s="73">
        <v>0</v>
      </c>
    </row>
    <row r="7" ht="15" customHeight="1" s="4" customFormat="1">
      <c r="A7" s="9">
        <v>45875</v>
      </c>
      <c r="B7" s="11">
        <v>45875</v>
      </c>
      <c r="C7" s="74">
        <v>102703</v>
      </c>
      <c r="D7" s="11" t="s">
        <v>20</v>
      </c>
      <c r="E7" s="11" t="s">
        <v>37</v>
      </c>
      <c r="F7" s="11" t="s">
        <v>39</v>
      </c>
      <c r="G7" s="73">
        <v>1</v>
      </c>
      <c r="H7" s="11" t="s">
        <v>21</v>
      </c>
      <c r="I7" s="11" t="s">
        <v>24</v>
      </c>
      <c r="J7" s="74">
        <v>9</v>
      </c>
      <c r="K7" s="74">
        <v>25</v>
      </c>
      <c r="L7" s="11" t="s">
        <v>20</v>
      </c>
      <c r="M7" s="12" t="s">
        <v>20</v>
      </c>
      <c r="N7" s="11" t="s">
        <v>22</v>
      </c>
      <c r="O7" s="73">
        <v>6327</v>
      </c>
      <c r="P7" s="73">
        <v>316350</v>
      </c>
      <c r="Q7" s="73">
        <v>316350</v>
      </c>
      <c r="R7" s="73">
        <v>0</v>
      </c>
      <c r="S7" s="73">
        <v>0</v>
      </c>
    </row>
    <row r="8" ht="15" customHeight="1" s="4" customFormat="1">
      <c r="A8" s="9"/>
      <c r="B8" s="11"/>
      <c r="C8" s="11"/>
      <c r="D8" s="11"/>
      <c r="E8" s="11"/>
      <c r="F8" s="11"/>
      <c r="G8" s="14"/>
      <c r="H8" s="11"/>
      <c r="I8" s="11"/>
      <c r="J8" s="11"/>
      <c r="K8" s="11"/>
      <c r="L8" s="11"/>
      <c r="M8" s="12"/>
      <c r="N8" s="11"/>
      <c r="O8" s="13"/>
      <c r="P8" s="12"/>
      <c r="Q8" s="12"/>
      <c r="R8" s="12"/>
      <c r="S8" s="12"/>
    </row>
    <row r="9" ht="15" customHeight="1" s="4" customFormat="1">
      <c r="A9" s="9"/>
      <c r="B9" s="11"/>
      <c r="C9" s="11"/>
      <c r="D9" s="11"/>
      <c r="E9" s="11"/>
      <c r="F9" s="11"/>
      <c r="G9" s="14"/>
      <c r="H9" s="11"/>
      <c r="I9" s="11"/>
      <c r="J9" s="11"/>
      <c r="K9" s="11"/>
      <c r="L9" s="11"/>
      <c r="M9" s="12"/>
      <c r="N9" s="11"/>
      <c r="O9" s="13"/>
      <c r="P9" s="12"/>
      <c r="Q9" s="12"/>
      <c r="R9" s="12"/>
      <c r="S9" s="12"/>
    </row>
    <row r="10" ht="15" customHeight="1" s="4" customFormat="1">
      <c r="A10" s="9"/>
      <c r="B10" s="11"/>
      <c r="C10" s="11"/>
      <c r="D10" s="11"/>
      <c r="E10" s="11"/>
      <c r="F10" s="11"/>
      <c r="G10" s="14"/>
      <c r="H10" s="11"/>
      <c r="I10" s="11"/>
      <c r="J10" s="11"/>
      <c r="K10" s="11"/>
      <c r="L10" s="11"/>
      <c r="M10" s="12"/>
      <c r="N10" s="11"/>
      <c r="O10" s="13"/>
      <c r="P10" s="12"/>
      <c r="Q10" s="12"/>
      <c r="R10" s="12"/>
      <c r="S10" s="12"/>
    </row>
    <row r="11" ht="15" customHeight="1" s="4" customFormat="1">
      <c r="A11" s="9"/>
      <c r="B11" s="11"/>
      <c r="C11" s="11"/>
      <c r="D11" s="11"/>
      <c r="E11" s="11"/>
      <c r="F11" s="11"/>
      <c r="G11" s="14"/>
      <c r="H11" s="11"/>
      <c r="I11" s="11"/>
      <c r="J11" s="11"/>
      <c r="K11" s="11"/>
      <c r="L11" s="11"/>
      <c r="M11" s="12"/>
      <c r="N11" s="11"/>
      <c r="O11" s="13"/>
      <c r="P11" s="12"/>
      <c r="Q11" s="12"/>
      <c r="R11" s="12"/>
      <c r="S11" s="12"/>
    </row>
    <row r="12" ht="15" customHeight="1" s="4" customFormat="1">
      <c r="A12" s="9"/>
      <c r="B12" s="11"/>
      <c r="C12" s="11"/>
      <c r="D12" s="11"/>
      <c r="E12" s="11"/>
      <c r="F12" s="11"/>
      <c r="G12" s="14"/>
      <c r="H12" s="11"/>
      <c r="I12" s="11"/>
      <c r="J12" s="11"/>
      <c r="K12" s="11"/>
      <c r="L12" s="11"/>
      <c r="M12" s="12"/>
      <c r="N12" s="11"/>
      <c r="O12" s="13"/>
      <c r="P12" s="12"/>
      <c r="Q12" s="12"/>
      <c r="R12" s="12"/>
      <c r="S12" s="12"/>
    </row>
    <row r="13" ht="15" customHeight="1" s="4" customFormat="1">
      <c r="A13" s="9"/>
      <c r="B13" s="11"/>
      <c r="C13" s="11"/>
      <c r="D13" s="11"/>
      <c r="E13" s="11"/>
      <c r="F13" s="11"/>
      <c r="G13" s="14"/>
      <c r="H13" s="11"/>
      <c r="I13" s="11"/>
      <c r="J13" s="11"/>
      <c r="K13" s="11"/>
      <c r="L13" s="11"/>
      <c r="M13" s="12"/>
      <c r="N13" s="11"/>
      <c r="O13" s="13"/>
      <c r="P13" s="12"/>
      <c r="Q13" s="12"/>
      <c r="R13" s="12"/>
      <c r="S13" s="12"/>
    </row>
    <row r="14" ht="15" customHeight="1" s="4" customFormat="1">
      <c r="A14" s="9"/>
      <c r="B14" s="11"/>
      <c r="C14" s="11"/>
      <c r="D14" s="11"/>
      <c r="E14" s="11"/>
      <c r="F14" s="11"/>
      <c r="G14" s="14"/>
      <c r="H14" s="11"/>
      <c r="I14" s="11"/>
      <c r="J14" s="11"/>
      <c r="K14" s="11"/>
      <c r="L14" s="11"/>
      <c r="M14" s="12"/>
      <c r="N14" s="11"/>
      <c r="O14" s="13"/>
      <c r="P14" s="12"/>
      <c r="Q14" s="12"/>
      <c r="R14" s="12"/>
      <c r="S14" s="12"/>
    </row>
    <row r="15" ht="15" customHeight="1" s="4" customFormat="1">
      <c r="A15" s="9"/>
      <c r="B15" s="11"/>
      <c r="C15" s="11"/>
      <c r="D15" s="11"/>
      <c r="E15" s="11"/>
      <c r="F15" s="11"/>
      <c r="G15" s="14"/>
      <c r="H15" s="11"/>
      <c r="I15" s="11"/>
      <c r="J15" s="11"/>
      <c r="K15" s="11"/>
      <c r="L15" s="11"/>
      <c r="M15" s="12"/>
      <c r="N15" s="11"/>
      <c r="O15" s="13"/>
      <c r="P15" s="12"/>
      <c r="Q15" s="12"/>
      <c r="R15" s="12"/>
      <c r="S15" s="12"/>
    </row>
    <row r="16" ht="15" customHeight="1" s="4" customFormat="1">
      <c r="A16" s="9"/>
      <c r="B16" s="11"/>
      <c r="C16" s="11"/>
      <c r="D16" s="11"/>
      <c r="E16" s="11"/>
      <c r="F16" s="11"/>
      <c r="G16" s="14"/>
      <c r="H16" s="11"/>
      <c r="I16" s="11"/>
      <c r="J16" s="11"/>
      <c r="K16" s="11"/>
      <c r="L16" s="11"/>
      <c r="M16" s="12"/>
      <c r="N16" s="11"/>
      <c r="O16" s="13"/>
      <c r="P16" s="12"/>
      <c r="Q16" s="12"/>
      <c r="R16" s="12"/>
      <c r="S16" s="12"/>
    </row>
    <row r="17" ht="15" customHeight="1" s="4" customFormat="1">
      <c r="A17" s="9"/>
      <c r="B17" s="11"/>
      <c r="C17" s="11"/>
      <c r="D17" s="11"/>
      <c r="E17" s="11"/>
      <c r="F17" s="11"/>
      <c r="G17" s="14"/>
      <c r="H17" s="11"/>
      <c r="I17" s="11"/>
      <c r="J17" s="11"/>
      <c r="K17" s="11"/>
      <c r="L17" s="11"/>
      <c r="M17" s="12"/>
      <c r="N17" s="11"/>
      <c r="O17" s="13"/>
      <c r="P17" s="12"/>
      <c r="Q17" s="12"/>
      <c r="R17" s="12"/>
      <c r="S17" s="12"/>
    </row>
    <row r="18" ht="15" customHeight="1" s="4" customFormat="1">
      <c r="A18" s="9"/>
      <c r="B18" s="11"/>
      <c r="C18" s="11"/>
      <c r="D18" s="11"/>
      <c r="E18" s="11"/>
      <c r="F18" s="11"/>
      <c r="G18" s="14"/>
      <c r="H18" s="11"/>
      <c r="I18" s="11"/>
      <c r="J18" s="11"/>
      <c r="K18" s="11"/>
      <c r="L18" s="11"/>
      <c r="M18" s="12"/>
      <c r="N18" s="11"/>
      <c r="O18" s="13"/>
      <c r="P18" s="12"/>
      <c r="Q18" s="12"/>
      <c r="R18" s="12"/>
      <c r="S18" s="12"/>
    </row>
    <row r="19" ht="15" customHeight="1" s="4" customFormat="1">
      <c r="A19" s="9"/>
      <c r="B19" s="11"/>
      <c r="C19" s="11"/>
      <c r="D19" s="11"/>
      <c r="E19" s="11"/>
      <c r="F19" s="11"/>
      <c r="G19" s="14"/>
      <c r="H19" s="11"/>
      <c r="I19" s="11"/>
      <c r="J19" s="11"/>
      <c r="K19" s="11"/>
      <c r="L19" s="11"/>
      <c r="M19" s="12"/>
      <c r="N19" s="11"/>
      <c r="O19" s="13"/>
      <c r="P19" s="12"/>
      <c r="Q19" s="12"/>
      <c r="R19" s="12"/>
      <c r="S19" s="12"/>
    </row>
    <row r="20" ht="15" customHeight="1" s="4" customFormat="1">
      <c r="A20" s="9"/>
      <c r="B20" s="11"/>
      <c r="C20" s="11"/>
      <c r="D20" s="11"/>
      <c r="E20" s="11"/>
      <c r="F20" s="11"/>
      <c r="G20" s="14"/>
      <c r="H20" s="11"/>
      <c r="I20" s="11"/>
      <c r="J20" s="11"/>
      <c r="K20" s="11"/>
      <c r="L20" s="11"/>
      <c r="M20" s="12"/>
      <c r="N20" s="11"/>
      <c r="O20" s="13"/>
      <c r="P20" s="12"/>
      <c r="Q20" s="12"/>
      <c r="R20" s="12"/>
      <c r="S20" s="12"/>
    </row>
    <row r="21" ht="15" customHeight="1" s="4" customFormat="1">
      <c r="A21" s="9"/>
      <c r="B21" s="11"/>
      <c r="C21" s="11"/>
      <c r="D21" s="11"/>
      <c r="E21" s="11"/>
      <c r="F21" s="11"/>
      <c r="G21" s="14"/>
      <c r="H21" s="11"/>
      <c r="I21" s="11"/>
      <c r="J21" s="11"/>
      <c r="K21" s="11"/>
      <c r="L21" s="11"/>
      <c r="M21" s="12"/>
      <c r="N21" s="11"/>
      <c r="O21" s="13"/>
      <c r="P21" s="12"/>
      <c r="Q21" s="12"/>
      <c r="R21" s="12"/>
      <c r="S21" s="12"/>
    </row>
    <row r="22" ht="15" customHeight="1" s="4" customFormat="1">
      <c r="A22" s="9"/>
      <c r="B22" s="11"/>
      <c r="C22" s="11"/>
      <c r="D22" s="11"/>
      <c r="E22" s="11"/>
      <c r="F22" s="11"/>
      <c r="G22" s="14"/>
      <c r="H22" s="11"/>
      <c r="I22" s="11"/>
      <c r="J22" s="11"/>
      <c r="K22" s="11"/>
      <c r="L22" s="11"/>
      <c r="M22" s="12"/>
      <c r="N22" s="11"/>
      <c r="O22" s="13"/>
      <c r="P22" s="12"/>
      <c r="Q22" s="12"/>
      <c r="R22" s="12"/>
      <c r="S22" s="12"/>
    </row>
    <row r="23" ht="15" customHeight="1" s="4" customFormat="1">
      <c r="A23" s="9"/>
      <c r="B23" s="11"/>
      <c r="C23" s="11"/>
      <c r="D23" s="11"/>
      <c r="E23" s="11"/>
      <c r="F23" s="11"/>
      <c r="G23" s="14"/>
      <c r="H23" s="11"/>
      <c r="I23" s="11"/>
      <c r="J23" s="11"/>
      <c r="K23" s="11"/>
      <c r="L23" s="11"/>
      <c r="M23" s="12"/>
      <c r="N23" s="11"/>
      <c r="O23" s="13"/>
      <c r="P23" s="12"/>
      <c r="Q23" s="12"/>
      <c r="R23" s="12"/>
      <c r="S23" s="12"/>
    </row>
    <row r="24" ht="15" customHeight="1" s="4" customFormat="1">
      <c r="A24" s="9"/>
      <c r="B24" s="11"/>
      <c r="C24" s="11"/>
      <c r="D24" s="11"/>
      <c r="E24" s="11"/>
      <c r="F24" s="11"/>
      <c r="G24" s="14"/>
      <c r="H24" s="11"/>
      <c r="I24" s="11"/>
      <c r="J24" s="11"/>
      <c r="K24" s="11"/>
      <c r="L24" s="11"/>
      <c r="M24" s="12"/>
      <c r="N24" s="11"/>
      <c r="O24" s="13"/>
      <c r="P24" s="12"/>
      <c r="Q24" s="12"/>
      <c r="R24" s="12"/>
      <c r="S24" s="12"/>
    </row>
    <row r="25" ht="15" customHeight="1" s="4" customFormat="1">
      <c r="A25" s="9"/>
      <c r="B25" s="11"/>
      <c r="C25" s="11"/>
      <c r="D25" s="11"/>
      <c r="E25" s="11"/>
      <c r="F25" s="11"/>
      <c r="G25" s="14"/>
      <c r="H25" s="11"/>
      <c r="I25" s="11"/>
      <c r="J25" s="11"/>
      <c r="K25" s="11"/>
      <c r="L25" s="11"/>
      <c r="M25" s="12"/>
      <c r="N25" s="11"/>
      <c r="O25" s="13"/>
      <c r="P25" s="12"/>
      <c r="Q25" s="12"/>
      <c r="R25" s="12"/>
      <c r="S25" s="12"/>
    </row>
    <row r="26" ht="15" customHeight="1" s="4" customFormat="1">
      <c r="A26" s="9"/>
      <c r="B26" s="11"/>
      <c r="C26" s="11"/>
      <c r="D26" s="11"/>
      <c r="E26" s="11"/>
      <c r="F26" s="11"/>
      <c r="G26" s="14"/>
      <c r="H26" s="11"/>
      <c r="I26" s="11"/>
      <c r="J26" s="11"/>
      <c r="K26" s="11"/>
      <c r="L26" s="11"/>
      <c r="M26" s="12"/>
      <c r="N26" s="11"/>
      <c r="O26" s="13"/>
      <c r="P26" s="12"/>
      <c r="Q26" s="12"/>
      <c r="R26" s="12"/>
      <c r="S26" s="12"/>
    </row>
    <row r="27" ht="15" customHeight="1" s="4" customFormat="1">
      <c r="A27" s="9"/>
      <c r="B27" s="11"/>
      <c r="C27" s="11"/>
      <c r="D27" s="11"/>
      <c r="E27" s="11"/>
      <c r="F27" s="11"/>
      <c r="G27" s="14"/>
      <c r="H27" s="11"/>
      <c r="I27" s="11"/>
      <c r="J27" s="11"/>
      <c r="K27" s="11"/>
      <c r="L27" s="11"/>
      <c r="M27" s="12"/>
      <c r="N27" s="11"/>
      <c r="O27" s="13"/>
      <c r="P27" s="12"/>
      <c r="Q27" s="12"/>
      <c r="R27" s="12"/>
      <c r="S27" s="12"/>
    </row>
    <row r="28" ht="15" customHeight="1" s="4" customFormat="1">
      <c r="A28" s="9"/>
      <c r="B28" s="11"/>
      <c r="C28" s="11"/>
      <c r="D28" s="11"/>
      <c r="E28" s="11"/>
      <c r="F28" s="11"/>
      <c r="G28" s="14"/>
      <c r="H28" s="11"/>
      <c r="I28" s="11"/>
      <c r="J28" s="11"/>
      <c r="K28" s="11"/>
      <c r="L28" s="11"/>
      <c r="M28" s="12"/>
      <c r="N28" s="11"/>
      <c r="O28" s="13"/>
      <c r="P28" s="12"/>
      <c r="Q28" s="12"/>
      <c r="R28" s="12"/>
      <c r="S28" s="12"/>
    </row>
    <row r="29" ht="15" customHeight="1" s="4" customFormat="1">
      <c r="A29" s="9"/>
      <c r="B29" s="11"/>
      <c r="C29" s="11"/>
      <c r="D29" s="11"/>
      <c r="E29" s="11"/>
      <c r="F29" s="11"/>
      <c r="G29" s="14"/>
      <c r="H29" s="11"/>
      <c r="I29" s="11"/>
      <c r="J29" s="11"/>
      <c r="K29" s="11"/>
      <c r="L29" s="11"/>
      <c r="M29" s="12"/>
      <c r="N29" s="11"/>
      <c r="O29" s="13"/>
      <c r="P29" s="12"/>
      <c r="Q29" s="12"/>
      <c r="R29" s="12"/>
      <c r="S29" s="12"/>
    </row>
    <row r="30" ht="15" customHeight="1" s="4" customFormat="1">
      <c r="A30" s="9"/>
      <c r="B30" s="11"/>
      <c r="C30" s="11"/>
      <c r="D30" s="11"/>
      <c r="E30" s="11"/>
      <c r="F30" s="11"/>
      <c r="G30" s="14"/>
      <c r="H30" s="11"/>
      <c r="I30" s="11"/>
      <c r="J30" s="11"/>
      <c r="K30" s="11"/>
      <c r="L30" s="11"/>
      <c r="M30" s="12"/>
      <c r="N30" s="11"/>
      <c r="O30" s="13"/>
      <c r="P30" s="12"/>
      <c r="Q30" s="12"/>
      <c r="R30" s="12"/>
      <c r="S30" s="12"/>
    </row>
    <row r="31" ht="15" customHeight="1" s="4" customFormat="1">
      <c r="A31" s="9"/>
      <c r="B31" s="11"/>
      <c r="C31" s="11"/>
      <c r="D31" s="11"/>
      <c r="E31" s="11"/>
      <c r="F31" s="11"/>
      <c r="G31" s="14"/>
      <c r="H31" s="11"/>
      <c r="I31" s="11"/>
      <c r="J31" s="11"/>
      <c r="K31" s="11"/>
      <c r="L31" s="11"/>
      <c r="M31" s="12"/>
      <c r="N31" s="11"/>
      <c r="O31" s="13"/>
      <c r="P31" s="12"/>
      <c r="Q31" s="12"/>
      <c r="R31" s="12"/>
      <c r="S31" s="12"/>
    </row>
    <row r="32" ht="15" customHeight="1" s="4" customFormat="1">
      <c r="A32" s="9"/>
      <c r="B32" s="11"/>
      <c r="C32" s="11"/>
      <c r="D32" s="11"/>
      <c r="E32" s="11"/>
      <c r="F32" s="11"/>
      <c r="G32" s="14"/>
      <c r="H32" s="11"/>
      <c r="I32" s="11"/>
      <c r="J32" s="11"/>
      <c r="K32" s="11"/>
      <c r="L32" s="11"/>
      <c r="M32" s="12"/>
      <c r="N32" s="11"/>
      <c r="O32" s="13"/>
      <c r="P32" s="12"/>
      <c r="Q32" s="12"/>
      <c r="R32" s="12"/>
      <c r="S32" s="12"/>
    </row>
    <row r="33" ht="15" customHeight="1" s="4" customFormat="1">
      <c r="A33" s="9"/>
      <c r="B33" s="11"/>
      <c r="C33" s="11"/>
      <c r="D33" s="11"/>
      <c r="E33" s="11"/>
      <c r="F33" s="11"/>
      <c r="G33" s="14"/>
      <c r="H33" s="11"/>
      <c r="I33" s="11"/>
      <c r="J33" s="11"/>
      <c r="K33" s="11"/>
      <c r="L33" s="11"/>
      <c r="M33" s="12"/>
      <c r="N33" s="11"/>
      <c r="O33" s="13"/>
      <c r="P33" s="12"/>
      <c r="Q33" s="12"/>
      <c r="R33" s="12"/>
      <c r="S33" s="12"/>
    </row>
    <row r="34" ht="15" customHeight="1" s="4" customFormat="1">
      <c r="A34" s="9"/>
      <c r="B34" s="11"/>
      <c r="C34" s="11"/>
      <c r="D34" s="11"/>
      <c r="E34" s="11"/>
      <c r="F34" s="11"/>
      <c r="G34" s="14"/>
      <c r="H34" s="11"/>
      <c r="I34" s="11"/>
      <c r="J34" s="11"/>
      <c r="K34" s="11"/>
      <c r="L34" s="11"/>
      <c r="M34" s="12"/>
      <c r="N34" s="11"/>
      <c r="O34" s="13"/>
      <c r="P34" s="12"/>
      <c r="Q34" s="12"/>
      <c r="R34" s="12"/>
      <c r="S34" s="12"/>
    </row>
    <row r="35" ht="15" customHeight="1" s="4" customFormat="1">
      <c r="A35" s="9"/>
      <c r="B35" s="11"/>
      <c r="C35" s="11"/>
      <c r="D35" s="11"/>
      <c r="E35" s="11"/>
      <c r="F35" s="11"/>
      <c r="G35" s="14"/>
      <c r="H35" s="11"/>
      <c r="I35" s="11"/>
      <c r="J35" s="11"/>
      <c r="K35" s="11"/>
      <c r="L35" s="11"/>
      <c r="M35" s="12"/>
      <c r="N35" s="11"/>
      <c r="O35" s="13"/>
      <c r="P35" s="12"/>
      <c r="Q35" s="12"/>
      <c r="R35" s="12"/>
      <c r="S35" s="12"/>
    </row>
    <row r="36" ht="15" customHeight="1" s="4" customFormat="1">
      <c r="A36" s="9"/>
      <c r="B36" s="11"/>
      <c r="C36" s="11"/>
      <c r="D36" s="11"/>
      <c r="E36" s="11"/>
      <c r="F36" s="11"/>
      <c r="G36" s="14"/>
      <c r="H36" s="11"/>
      <c r="I36" s="11"/>
      <c r="J36" s="11"/>
      <c r="K36" s="11"/>
      <c r="L36" s="11"/>
      <c r="M36" s="12"/>
      <c r="N36" s="11"/>
      <c r="O36" s="13"/>
      <c r="P36" s="12"/>
      <c r="Q36" s="12"/>
      <c r="R36" s="12"/>
      <c r="S36" s="12"/>
    </row>
    <row r="37" ht="15" customHeight="1" s="4" customFormat="1">
      <c r="A37" s="9"/>
      <c r="B37" s="11"/>
      <c r="C37" s="11"/>
      <c r="D37" s="11"/>
      <c r="E37" s="11"/>
      <c r="F37" s="11"/>
      <c r="G37" s="14"/>
      <c r="H37" s="11"/>
      <c r="I37" s="11"/>
      <c r="J37" s="11"/>
      <c r="K37" s="11"/>
      <c r="L37" s="11"/>
      <c r="M37" s="12"/>
      <c r="N37" s="11"/>
      <c r="O37" s="13"/>
      <c r="P37" s="12"/>
      <c r="Q37" s="12"/>
      <c r="R37" s="12"/>
      <c r="S37" s="12"/>
    </row>
    <row r="38" ht="15" customHeight="1" s="4" customFormat="1">
      <c r="A38" s="9"/>
      <c r="B38" s="11"/>
      <c r="C38" s="11"/>
      <c r="D38" s="11"/>
      <c r="E38" s="11"/>
      <c r="F38" s="11"/>
      <c r="G38" s="14"/>
      <c r="H38" s="11"/>
      <c r="I38" s="11"/>
      <c r="J38" s="11"/>
      <c r="K38" s="11"/>
      <c r="L38" s="11"/>
      <c r="M38" s="12"/>
      <c r="N38" s="11"/>
      <c r="O38" s="13"/>
      <c r="P38" s="12"/>
      <c r="Q38" s="12"/>
      <c r="R38" s="12"/>
      <c r="S38" s="12"/>
    </row>
    <row r="39" ht="15" customHeight="1" s="4" customFormat="1">
      <c r="A39" s="9"/>
      <c r="B39" s="11"/>
      <c r="C39" s="11"/>
      <c r="D39" s="11"/>
      <c r="E39" s="11"/>
      <c r="F39" s="11"/>
      <c r="G39" s="14"/>
      <c r="H39" s="11"/>
      <c r="I39" s="11"/>
      <c r="J39" s="11"/>
      <c r="K39" s="11"/>
      <c r="L39" s="11"/>
      <c r="M39" s="12"/>
      <c r="N39" s="11"/>
      <c r="O39" s="13"/>
      <c r="P39" s="12"/>
      <c r="Q39" s="12"/>
      <c r="R39" s="12"/>
      <c r="S39" s="12"/>
    </row>
    <row r="40" ht="15" customHeight="1" s="4" customFormat="1">
      <c r="A40" s="9"/>
      <c r="B40" s="11"/>
      <c r="C40" s="11"/>
      <c r="D40" s="11"/>
      <c r="E40" s="11"/>
      <c r="F40" s="11"/>
      <c r="G40" s="14"/>
      <c r="H40" s="11"/>
      <c r="I40" s="11"/>
      <c r="J40" s="11"/>
      <c r="K40" s="11"/>
      <c r="L40" s="11"/>
      <c r="M40" s="12"/>
      <c r="N40" s="11"/>
      <c r="O40" s="13"/>
      <c r="P40" s="12"/>
      <c r="Q40" s="12"/>
      <c r="R40" s="12"/>
      <c r="S40" s="12"/>
    </row>
    <row r="41" ht="15" customHeight="1" s="4" customFormat="1">
      <c r="A41" s="9"/>
      <c r="B41" s="11"/>
      <c r="C41" s="11"/>
      <c r="D41" s="11"/>
      <c r="E41" s="11"/>
      <c r="F41" s="11"/>
      <c r="G41" s="14"/>
      <c r="H41" s="11"/>
      <c r="I41" s="11"/>
      <c r="J41" s="11"/>
      <c r="K41" s="11"/>
      <c r="L41" s="11"/>
      <c r="M41" s="12"/>
      <c r="N41" s="11"/>
      <c r="O41" s="13"/>
      <c r="P41" s="12"/>
      <c r="Q41" s="12"/>
      <c r="R41" s="12"/>
      <c r="S41" s="12"/>
    </row>
    <row r="42" ht="15" customHeight="1" s="4" customFormat="1">
      <c r="A42" s="9"/>
      <c r="B42" s="11"/>
      <c r="C42" s="11"/>
      <c r="D42" s="11"/>
      <c r="E42" s="11"/>
      <c r="F42" s="11"/>
      <c r="G42" s="14"/>
      <c r="H42" s="11"/>
      <c r="I42" s="11"/>
      <c r="J42" s="11"/>
      <c r="K42" s="11"/>
      <c r="L42" s="11"/>
      <c r="M42" s="12"/>
      <c r="N42" s="11"/>
      <c r="O42" s="13"/>
      <c r="P42" s="12"/>
      <c r="Q42" s="12"/>
      <c r="R42" s="12"/>
      <c r="S42" s="12"/>
    </row>
    <row r="43" ht="15" customHeight="1" s="4" customFormat="1">
      <c r="A43" s="9"/>
      <c r="B43" s="11"/>
      <c r="C43" s="11"/>
      <c r="D43" s="11"/>
      <c r="E43" s="11"/>
      <c r="F43" s="11"/>
      <c r="G43" s="14"/>
      <c r="H43" s="11"/>
      <c r="I43" s="11"/>
      <c r="J43" s="11"/>
      <c r="K43" s="11"/>
      <c r="L43" s="11"/>
      <c r="M43" s="12"/>
      <c r="N43" s="11"/>
      <c r="O43" s="13"/>
      <c r="P43" s="12"/>
      <c r="Q43" s="12"/>
      <c r="R43" s="12"/>
      <c r="S43" s="12"/>
    </row>
    <row r="44" ht="15" customHeight="1" s="4" customFormat="1">
      <c r="A44" s="9"/>
      <c r="B44" s="11"/>
      <c r="C44" s="11"/>
      <c r="D44" s="11"/>
      <c r="E44" s="11"/>
      <c r="F44" s="11"/>
      <c r="G44" s="14"/>
      <c r="H44" s="11"/>
      <c r="I44" s="11"/>
      <c r="J44" s="11"/>
      <c r="K44" s="11"/>
      <c r="L44" s="11"/>
      <c r="M44" s="12"/>
      <c r="N44" s="11"/>
      <c r="O44" s="13"/>
      <c r="P44" s="12"/>
      <c r="Q44" s="12"/>
      <c r="R44" s="12"/>
      <c r="S44" s="12"/>
    </row>
    <row r="45" ht="15" customHeight="1" s="4" customFormat="1">
      <c r="A45" s="9"/>
      <c r="B45" s="11"/>
      <c r="C45" s="11"/>
      <c r="D45" s="11"/>
      <c r="E45" s="11"/>
      <c r="F45" s="11"/>
      <c r="G45" s="14"/>
      <c r="H45" s="11"/>
      <c r="I45" s="11"/>
      <c r="J45" s="11"/>
      <c r="K45" s="11"/>
      <c r="L45" s="11"/>
      <c r="M45" s="12"/>
      <c r="N45" s="11"/>
      <c r="O45" s="13"/>
      <c r="P45" s="12"/>
      <c r="Q45" s="12"/>
      <c r="R45" s="12"/>
      <c r="S45" s="12"/>
    </row>
    <row r="46" ht="15" customHeight="1" s="4" customFormat="1">
      <c r="A46" s="9"/>
      <c r="B46" s="11"/>
      <c r="C46" s="11"/>
      <c r="D46" s="11"/>
      <c r="E46" s="11"/>
      <c r="F46" s="11"/>
      <c r="G46" s="14"/>
      <c r="H46" s="11"/>
      <c r="I46" s="11"/>
      <c r="J46" s="11"/>
      <c r="K46" s="11"/>
      <c r="L46" s="11"/>
      <c r="M46" s="12"/>
      <c r="N46" s="11"/>
      <c r="O46" s="13"/>
      <c r="P46" s="12"/>
      <c r="Q46" s="12"/>
      <c r="R46" s="12"/>
      <c r="S46" s="12"/>
    </row>
    <row r="47" ht="15" customHeight="1" s="4" customFormat="1">
      <c r="A47" s="9"/>
      <c r="B47" s="11"/>
      <c r="C47" s="11"/>
      <c r="D47" s="11"/>
      <c r="E47" s="11"/>
      <c r="F47" s="11"/>
      <c r="G47" s="14"/>
      <c r="H47" s="11"/>
      <c r="I47" s="11"/>
      <c r="J47" s="11"/>
      <c r="K47" s="11"/>
      <c r="L47" s="11"/>
      <c r="M47" s="12"/>
      <c r="N47" s="11"/>
      <c r="O47" s="13"/>
      <c r="P47" s="12"/>
      <c r="Q47" s="12"/>
      <c r="R47" s="12"/>
      <c r="S47" s="12"/>
    </row>
    <row r="48" ht="15" customHeight="1" s="4" customFormat="1">
      <c r="A48" s="9"/>
      <c r="B48" s="11"/>
      <c r="C48" s="11"/>
      <c r="D48" s="11"/>
      <c r="E48" s="11"/>
      <c r="F48" s="11"/>
      <c r="G48" s="14"/>
      <c r="H48" s="11"/>
      <c r="I48" s="11"/>
      <c r="J48" s="11"/>
      <c r="K48" s="11"/>
      <c r="L48" s="11"/>
      <c r="M48" s="12"/>
      <c r="N48" s="11"/>
      <c r="O48" s="13"/>
      <c r="P48" s="12"/>
      <c r="Q48" s="12"/>
      <c r="R48" s="12"/>
      <c r="S48" s="12"/>
    </row>
    <row r="49" ht="15" customHeight="1" s="4" customFormat="1">
      <c r="A49" s="9"/>
      <c r="B49" s="11"/>
      <c r="C49" s="11"/>
      <c r="D49" s="11"/>
      <c r="E49" s="11"/>
      <c r="F49" s="11"/>
      <c r="G49" s="14"/>
      <c r="H49" s="11"/>
      <c r="I49" s="11"/>
      <c r="J49" s="11"/>
      <c r="K49" s="11"/>
      <c r="L49" s="11"/>
      <c r="M49" s="12"/>
      <c r="N49" s="11"/>
      <c r="O49" s="13"/>
      <c r="P49" s="12"/>
      <c r="Q49" s="12"/>
      <c r="R49" s="12"/>
      <c r="S49" s="12"/>
    </row>
    <row r="50" ht="15" customHeight="1" s="4" customFormat="1">
      <c r="A50" s="9"/>
      <c r="B50" s="11"/>
      <c r="C50" s="11"/>
      <c r="D50" s="11"/>
      <c r="E50" s="11"/>
      <c r="F50" s="11"/>
      <c r="G50" s="14"/>
      <c r="H50" s="11"/>
      <c r="I50" s="11"/>
      <c r="J50" s="11"/>
      <c r="K50" s="11"/>
      <c r="L50" s="11"/>
      <c r="M50" s="12"/>
      <c r="N50" s="11"/>
      <c r="O50" s="13"/>
      <c r="P50" s="12"/>
      <c r="Q50" s="12"/>
      <c r="R50" s="12"/>
      <c r="S50" s="12"/>
    </row>
    <row r="51" ht="15" customHeight="1" s="4" customFormat="1">
      <c r="A51" s="9"/>
      <c r="B51" s="11"/>
      <c r="C51" s="11"/>
      <c r="D51" s="11"/>
      <c r="E51" s="11"/>
      <c r="F51" s="11"/>
      <c r="G51" s="14"/>
      <c r="H51" s="11"/>
      <c r="I51" s="11"/>
      <c r="J51" s="11"/>
      <c r="K51" s="11"/>
      <c r="L51" s="11"/>
      <c r="M51" s="12"/>
      <c r="N51" s="11"/>
      <c r="O51" s="13"/>
      <c r="P51" s="12"/>
      <c r="Q51" s="12"/>
      <c r="R51" s="12"/>
      <c r="S51" s="12"/>
    </row>
    <row r="52" ht="15" customHeight="1" s="4" customFormat="1">
      <c r="A52" s="9"/>
      <c r="B52" s="11"/>
      <c r="C52" s="11"/>
      <c r="D52" s="11"/>
      <c r="E52" s="11"/>
      <c r="F52" s="11"/>
      <c r="G52" s="14"/>
      <c r="H52" s="11"/>
      <c r="I52" s="11"/>
      <c r="J52" s="11"/>
      <c r="K52" s="11"/>
      <c r="L52" s="11"/>
      <c r="M52" s="12"/>
      <c r="N52" s="11"/>
      <c r="O52" s="13"/>
      <c r="P52" s="12"/>
      <c r="Q52" s="12"/>
      <c r="R52" s="12"/>
      <c r="S52" s="12"/>
    </row>
    <row r="53" ht="15" customHeight="1" s="4" customFormat="1">
      <c r="A53" s="9"/>
      <c r="B53" s="11"/>
      <c r="C53" s="11"/>
      <c r="D53" s="11"/>
      <c r="E53" s="11"/>
      <c r="F53" s="11"/>
      <c r="G53" s="14"/>
      <c r="H53" s="11"/>
      <c r="I53" s="11"/>
      <c r="J53" s="11"/>
      <c r="K53" s="11"/>
      <c r="L53" s="11"/>
      <c r="M53" s="12"/>
      <c r="N53" s="11"/>
      <c r="O53" s="13"/>
      <c r="P53" s="12"/>
      <c r="Q53" s="12"/>
      <c r="R53" s="12"/>
      <c r="S53" s="12"/>
    </row>
    <row r="54" ht="15" customHeight="1" s="4" customFormat="1">
      <c r="A54" s="9"/>
      <c r="B54" s="11"/>
      <c r="C54" s="11"/>
      <c r="D54" s="11"/>
      <c r="E54" s="11"/>
      <c r="F54" s="11"/>
      <c r="G54" s="14"/>
      <c r="H54" s="11"/>
      <c r="I54" s="11"/>
      <c r="J54" s="11"/>
      <c r="K54" s="11"/>
      <c r="L54" s="11"/>
      <c r="M54" s="12"/>
      <c r="N54" s="11"/>
      <c r="O54" s="13"/>
      <c r="P54" s="12"/>
      <c r="Q54" s="12"/>
      <c r="R54" s="12"/>
      <c r="S54" s="12"/>
    </row>
    <row r="55" ht="15" customHeight="1" s="4" customFormat="1">
      <c r="A55" s="9"/>
      <c r="B55" s="11"/>
      <c r="C55" s="11"/>
      <c r="D55" s="11"/>
      <c r="E55" s="11"/>
      <c r="F55" s="11"/>
      <c r="G55" s="14"/>
      <c r="H55" s="11"/>
      <c r="I55" s="11"/>
      <c r="J55" s="11"/>
      <c r="K55" s="11"/>
      <c r="L55" s="11"/>
      <c r="M55" s="12"/>
      <c r="N55" s="11"/>
      <c r="O55" s="13"/>
      <c r="P55" s="12"/>
      <c r="Q55" s="12"/>
      <c r="R55" s="12"/>
      <c r="S55" s="12"/>
    </row>
    <row r="56" ht="15" customHeight="1" s="4" customFormat="1">
      <c r="A56" s="9"/>
      <c r="B56" s="11"/>
      <c r="C56" s="11"/>
      <c r="D56" s="11"/>
      <c r="E56" s="11"/>
      <c r="F56" s="11"/>
      <c r="G56" s="14"/>
      <c r="H56" s="11"/>
      <c r="I56" s="11"/>
      <c r="J56" s="11"/>
      <c r="K56" s="11"/>
      <c r="L56" s="11"/>
      <c r="M56" s="12"/>
      <c r="N56" s="11"/>
      <c r="O56" s="13"/>
      <c r="P56" s="12"/>
      <c r="Q56" s="12"/>
      <c r="R56" s="12"/>
      <c r="S56" s="12"/>
    </row>
    <row r="57" ht="15" customHeight="1" s="4" customFormat="1">
      <c r="A57" s="9"/>
      <c r="B57" s="11"/>
      <c r="C57" s="11"/>
      <c r="D57" s="11"/>
      <c r="E57" s="11"/>
      <c r="F57" s="11"/>
      <c r="G57" s="14"/>
      <c r="H57" s="11"/>
      <c r="I57" s="11"/>
      <c r="J57" s="11"/>
      <c r="K57" s="11"/>
      <c r="L57" s="11"/>
      <c r="M57" s="12"/>
      <c r="N57" s="11"/>
      <c r="O57" s="13"/>
      <c r="P57" s="12"/>
      <c r="Q57" s="12"/>
      <c r="R57" s="12"/>
      <c r="S57" s="12"/>
    </row>
    <row r="58" ht="15" customHeight="1" s="4" customFormat="1">
      <c r="A58" s="9"/>
      <c r="B58" s="11"/>
      <c r="C58" s="11"/>
      <c r="D58" s="11"/>
      <c r="E58" s="11"/>
      <c r="F58" s="11"/>
      <c r="G58" s="14"/>
      <c r="H58" s="11"/>
      <c r="I58" s="11"/>
      <c r="J58" s="11"/>
      <c r="K58" s="11"/>
      <c r="L58" s="11"/>
      <c r="M58" s="12"/>
      <c r="N58" s="11"/>
      <c r="O58" s="13"/>
      <c r="P58" s="12"/>
      <c r="Q58" s="12"/>
      <c r="R58" s="12"/>
      <c r="S58" s="12"/>
    </row>
    <row r="59" ht="15" customHeight="1" s="4" customFormat="1">
      <c r="A59" s="9"/>
      <c r="B59" s="11"/>
      <c r="C59" s="11"/>
      <c r="D59" s="11"/>
      <c r="E59" s="11"/>
      <c r="F59" s="11"/>
      <c r="G59" s="14"/>
      <c r="H59" s="11"/>
      <c r="I59" s="11"/>
      <c r="J59" s="11"/>
      <c r="K59" s="11"/>
      <c r="L59" s="11"/>
      <c r="M59" s="12"/>
      <c r="N59" s="11"/>
      <c r="O59" s="13"/>
      <c r="P59" s="12"/>
      <c r="Q59" s="12"/>
      <c r="R59" s="12"/>
      <c r="S59" s="12"/>
    </row>
    <row r="60" ht="15" customHeight="1" s="4" customFormat="1">
      <c r="A60" s="9"/>
      <c r="B60" s="11"/>
      <c r="C60" s="11"/>
      <c r="D60" s="11"/>
      <c r="E60" s="11"/>
      <c r="F60" s="11"/>
      <c r="G60" s="14"/>
      <c r="H60" s="11"/>
      <c r="I60" s="11"/>
      <c r="J60" s="11"/>
      <c r="K60" s="11"/>
      <c r="L60" s="11"/>
      <c r="M60" s="12"/>
      <c r="N60" s="11"/>
      <c r="O60" s="13"/>
      <c r="P60" s="12"/>
      <c r="Q60" s="12"/>
      <c r="R60" s="12"/>
      <c r="S60" s="12"/>
    </row>
    <row r="61" ht="15" customHeight="1" s="4" customFormat="1">
      <c r="A61" s="9"/>
      <c r="B61" s="11"/>
      <c r="C61" s="11"/>
      <c r="D61" s="11"/>
      <c r="E61" s="11"/>
      <c r="F61" s="11"/>
      <c r="G61" s="14"/>
      <c r="H61" s="11"/>
      <c r="I61" s="11"/>
      <c r="J61" s="11"/>
      <c r="K61" s="11"/>
      <c r="L61" s="11"/>
      <c r="M61" s="12"/>
      <c r="N61" s="11"/>
      <c r="O61" s="13"/>
      <c r="P61" s="12"/>
      <c r="Q61" s="12"/>
      <c r="R61" s="12"/>
      <c r="S61" s="12"/>
    </row>
    <row r="62" ht="15" customHeight="1" s="4" customFormat="1">
      <c r="A62" s="9"/>
      <c r="B62" s="11"/>
      <c r="C62" s="11"/>
      <c r="D62" s="11"/>
      <c r="E62" s="11"/>
      <c r="F62" s="11"/>
      <c r="G62" s="14"/>
      <c r="H62" s="11"/>
      <c r="I62" s="11"/>
      <c r="J62" s="11"/>
      <c r="K62" s="11"/>
      <c r="L62" s="11"/>
      <c r="M62" s="12"/>
      <c r="N62" s="11"/>
      <c r="O62" s="13"/>
      <c r="P62" s="12"/>
      <c r="Q62" s="12"/>
      <c r="R62" s="12"/>
      <c r="S62" s="12"/>
    </row>
    <row r="63" ht="15" customHeight="1" s="4" customFormat="1">
      <c r="A63" s="9"/>
      <c r="B63" s="11"/>
      <c r="C63" s="11"/>
      <c r="D63" s="11"/>
      <c r="E63" s="11"/>
      <c r="F63" s="11"/>
      <c r="G63" s="14"/>
      <c r="H63" s="11"/>
      <c r="I63" s="11"/>
      <c r="J63" s="11"/>
      <c r="K63" s="11"/>
      <c r="L63" s="11"/>
      <c r="M63" s="12"/>
      <c r="N63" s="11"/>
      <c r="O63" s="13"/>
      <c r="P63" s="12"/>
      <c r="Q63" s="12"/>
      <c r="R63" s="12"/>
      <c r="S63" s="12"/>
    </row>
    <row r="64" ht="15" customHeight="1" s="4" customFormat="1">
      <c r="A64" s="9"/>
      <c r="B64" s="11"/>
      <c r="C64" s="11"/>
      <c r="D64" s="11"/>
      <c r="E64" s="11"/>
      <c r="F64" s="11"/>
      <c r="G64" s="14"/>
      <c r="H64" s="11"/>
      <c r="I64" s="11"/>
      <c r="J64" s="11"/>
      <c r="K64" s="11"/>
      <c r="L64" s="11"/>
      <c r="M64" s="12"/>
      <c r="N64" s="11"/>
      <c r="O64" s="13"/>
      <c r="P64" s="12"/>
      <c r="Q64" s="12"/>
      <c r="R64" s="12"/>
      <c r="S64" s="12"/>
    </row>
    <row r="65" ht="15" customHeight="1" s="4" customFormat="1">
      <c r="A65" s="9"/>
      <c r="B65" s="11"/>
      <c r="C65" s="11"/>
      <c r="D65" s="11"/>
      <c r="E65" s="11"/>
      <c r="F65" s="11"/>
      <c r="G65" s="14"/>
      <c r="H65" s="11"/>
      <c r="I65" s="11"/>
      <c r="J65" s="11"/>
      <c r="K65" s="11"/>
      <c r="L65" s="11"/>
      <c r="M65" s="12"/>
      <c r="N65" s="11"/>
      <c r="O65" s="13"/>
      <c r="P65" s="12"/>
      <c r="Q65" s="12"/>
      <c r="R65" s="12"/>
      <c r="S65" s="12"/>
    </row>
    <row r="66" ht="15" customHeight="1" s="4" customFormat="1">
      <c r="A66" s="9"/>
      <c r="B66" s="11"/>
      <c r="C66" s="11"/>
      <c r="D66" s="11"/>
      <c r="E66" s="11"/>
      <c r="F66" s="11"/>
      <c r="G66" s="14"/>
      <c r="H66" s="11"/>
      <c r="I66" s="11"/>
      <c r="J66" s="11"/>
      <c r="K66" s="11"/>
      <c r="L66" s="11"/>
      <c r="M66" s="12"/>
      <c r="N66" s="11"/>
      <c r="O66" s="13"/>
      <c r="P66" s="12"/>
      <c r="Q66" s="12"/>
      <c r="R66" s="12"/>
      <c r="S66" s="12"/>
    </row>
    <row r="67" ht="15" customHeight="1" s="4" customFormat="1">
      <c r="A67" s="9"/>
      <c r="B67" s="11"/>
      <c r="C67" s="11"/>
      <c r="D67" s="11"/>
      <c r="E67" s="11"/>
      <c r="F67" s="11"/>
      <c r="G67" s="14"/>
      <c r="H67" s="11"/>
      <c r="I67" s="11"/>
      <c r="J67" s="11"/>
      <c r="K67" s="11"/>
      <c r="L67" s="11"/>
      <c r="M67" s="12"/>
      <c r="N67" s="11"/>
      <c r="O67" s="13"/>
      <c r="P67" s="12"/>
      <c r="Q67" s="12"/>
      <c r="R67" s="12"/>
      <c r="S67" s="12"/>
    </row>
    <row r="68" ht="15" customHeight="1" s="4" customFormat="1">
      <c r="A68" s="9"/>
      <c r="B68" s="11"/>
      <c r="C68" s="11"/>
      <c r="D68" s="11"/>
      <c r="E68" s="11"/>
      <c r="F68" s="11"/>
      <c r="G68" s="14"/>
      <c r="H68" s="11"/>
      <c r="I68" s="11"/>
      <c r="J68" s="11"/>
      <c r="K68" s="11"/>
      <c r="L68" s="11"/>
      <c r="M68" s="12"/>
      <c r="N68" s="11"/>
      <c r="O68" s="13"/>
      <c r="P68" s="12"/>
      <c r="Q68" s="12"/>
      <c r="R68" s="12"/>
      <c r="S68" s="12"/>
    </row>
    <row r="69" ht="15" customHeight="1" s="4" customFormat="1">
      <c r="A69" s="9"/>
      <c r="B69" s="11"/>
      <c r="C69" s="11"/>
      <c r="D69" s="11"/>
      <c r="E69" s="11"/>
      <c r="F69" s="11"/>
      <c r="G69" s="14"/>
      <c r="H69" s="11"/>
      <c r="I69" s="11"/>
      <c r="J69" s="11"/>
      <c r="K69" s="11"/>
      <c r="L69" s="11"/>
      <c r="M69" s="12"/>
      <c r="N69" s="11"/>
      <c r="O69" s="13"/>
      <c r="P69" s="12"/>
      <c r="Q69" s="12"/>
      <c r="R69" s="12"/>
      <c r="S69" s="12"/>
    </row>
    <row r="70" ht="15" customHeight="1" s="4" customFormat="1">
      <c r="A70" s="9"/>
      <c r="B70" s="11"/>
      <c r="C70" s="11"/>
      <c r="D70" s="11"/>
      <c r="E70" s="11"/>
      <c r="F70" s="11"/>
      <c r="G70" s="14"/>
      <c r="H70" s="11"/>
      <c r="I70" s="11"/>
      <c r="J70" s="11"/>
      <c r="K70" s="11"/>
      <c r="L70" s="11"/>
      <c r="M70" s="12"/>
      <c r="N70" s="11"/>
      <c r="O70" s="13"/>
      <c r="P70" s="12"/>
      <c r="Q70" s="12"/>
      <c r="R70" s="12"/>
      <c r="S70" s="12"/>
    </row>
    <row r="71" ht="15" customHeight="1" s="4" customFormat="1">
      <c r="A71" s="9"/>
      <c r="B71" s="11"/>
      <c r="C71" s="11"/>
      <c r="D71" s="11"/>
      <c r="E71" s="11"/>
      <c r="F71" s="11"/>
      <c r="G71" s="14"/>
      <c r="H71" s="11"/>
      <c r="I71" s="11"/>
      <c r="J71" s="11"/>
      <c r="K71" s="11"/>
      <c r="L71" s="11"/>
      <c r="M71" s="12"/>
      <c r="N71" s="11"/>
      <c r="O71" s="13"/>
      <c r="P71" s="12"/>
      <c r="Q71" s="12"/>
      <c r="R71" s="12"/>
      <c r="S71" s="12"/>
    </row>
    <row r="72" ht="15" customHeight="1" s="4" customFormat="1">
      <c r="A72" s="9"/>
      <c r="B72" s="11"/>
      <c r="C72" s="11"/>
      <c r="D72" s="11"/>
      <c r="E72" s="11"/>
      <c r="F72" s="11"/>
      <c r="G72" s="14"/>
      <c r="H72" s="11"/>
      <c r="I72" s="11"/>
      <c r="J72" s="11"/>
      <c r="K72" s="11"/>
      <c r="L72" s="11"/>
      <c r="M72" s="12"/>
      <c r="N72" s="11"/>
      <c r="O72" s="13"/>
      <c r="P72" s="12"/>
      <c r="Q72" s="12"/>
      <c r="R72" s="12"/>
      <c r="S72" s="12"/>
    </row>
    <row r="73" ht="15" customHeight="1" s="4" customFormat="1">
      <c r="A73" s="9"/>
      <c r="B73" s="11"/>
      <c r="C73" s="11"/>
      <c r="D73" s="11"/>
      <c r="E73" s="11"/>
      <c r="F73" s="11"/>
      <c r="G73" s="14"/>
      <c r="H73" s="11"/>
      <c r="I73" s="11"/>
      <c r="J73" s="11"/>
      <c r="K73" s="11"/>
      <c r="L73" s="11"/>
      <c r="M73" s="12"/>
      <c r="N73" s="11"/>
      <c r="O73" s="13"/>
      <c r="P73" s="12"/>
      <c r="Q73" s="12"/>
      <c r="R73" s="12"/>
      <c r="S73" s="12"/>
    </row>
    <row r="74" ht="15" customHeight="1" s="4" customFormat="1">
      <c r="A74" s="9"/>
      <c r="B74" s="11"/>
      <c r="C74" s="11"/>
      <c r="D74" s="11"/>
      <c r="E74" s="11"/>
      <c r="F74" s="11"/>
      <c r="G74" s="14"/>
      <c r="H74" s="11"/>
      <c r="I74" s="11"/>
      <c r="J74" s="11"/>
      <c r="K74" s="11"/>
      <c r="L74" s="11"/>
      <c r="M74" s="12"/>
      <c r="N74" s="11"/>
      <c r="O74" s="13"/>
      <c r="P74" s="12"/>
      <c r="Q74" s="12"/>
      <c r="R74" s="12"/>
      <c r="S74" s="12"/>
    </row>
    <row r="75" ht="15" customHeight="1" s="4" customFormat="1">
      <c r="A75" s="9"/>
      <c r="B75" s="11"/>
      <c r="C75" s="11"/>
      <c r="D75" s="11"/>
      <c r="E75" s="11"/>
      <c r="F75" s="11"/>
      <c r="G75" s="14"/>
      <c r="H75" s="11"/>
      <c r="I75" s="11"/>
      <c r="J75" s="11"/>
      <c r="K75" s="11"/>
      <c r="L75" s="11"/>
      <c r="M75" s="12"/>
      <c r="N75" s="11"/>
      <c r="O75" s="13"/>
      <c r="P75" s="12"/>
      <c r="Q75" s="12"/>
      <c r="R75" s="12"/>
      <c r="S75" s="12"/>
    </row>
    <row r="76" ht="15" customHeight="1" s="4" customFormat="1">
      <c r="A76" s="9"/>
      <c r="B76" s="11"/>
      <c r="C76" s="11"/>
      <c r="D76" s="11"/>
      <c r="E76" s="11"/>
      <c r="F76" s="11"/>
      <c r="G76" s="14"/>
      <c r="H76" s="11"/>
      <c r="I76" s="11"/>
      <c r="J76" s="11"/>
      <c r="K76" s="11"/>
      <c r="L76" s="11"/>
      <c r="M76" s="12"/>
      <c r="N76" s="11"/>
      <c r="O76" s="13"/>
      <c r="P76" s="12"/>
      <c r="Q76" s="12"/>
      <c r="R76" s="12"/>
      <c r="S76" s="12"/>
    </row>
    <row r="77" ht="15" customHeight="1" s="4" customFormat="1">
      <c r="A77" s="9"/>
      <c r="B77" s="11"/>
      <c r="C77" s="11"/>
      <c r="D77" s="11"/>
      <c r="E77" s="11"/>
      <c r="F77" s="11"/>
      <c r="G77" s="14"/>
      <c r="H77" s="11"/>
      <c r="I77" s="11"/>
      <c r="J77" s="11"/>
      <c r="K77" s="11"/>
      <c r="L77" s="11"/>
      <c r="M77" s="12"/>
      <c r="N77" s="11"/>
      <c r="O77" s="13"/>
      <c r="P77" s="12"/>
      <c r="Q77" s="12"/>
      <c r="R77" s="12"/>
      <c r="S77" s="12"/>
    </row>
    <row r="78" ht="15" customHeight="1" s="4" customFormat="1">
      <c r="A78" s="9"/>
      <c r="B78" s="11"/>
      <c r="C78" s="11"/>
      <c r="D78" s="11"/>
      <c r="E78" s="11"/>
      <c r="F78" s="11"/>
      <c r="G78" s="14"/>
      <c r="H78" s="11"/>
      <c r="I78" s="11"/>
      <c r="J78" s="11"/>
      <c r="K78" s="11"/>
      <c r="L78" s="11"/>
      <c r="M78" s="12"/>
      <c r="N78" s="11"/>
      <c r="O78" s="13"/>
      <c r="P78" s="12"/>
      <c r="Q78" s="12"/>
      <c r="R78" s="12"/>
      <c r="S78" s="12"/>
    </row>
    <row r="79" ht="15" customHeight="1" s="4" customFormat="1">
      <c r="A79" s="9"/>
      <c r="B79" s="11"/>
      <c r="C79" s="11"/>
      <c r="D79" s="11"/>
      <c r="E79" s="11"/>
      <c r="F79" s="11"/>
      <c r="G79" s="14"/>
      <c r="H79" s="11"/>
      <c r="I79" s="11"/>
      <c r="J79" s="11"/>
      <c r="K79" s="11"/>
      <c r="L79" s="11"/>
      <c r="M79" s="12"/>
      <c r="N79" s="11"/>
      <c r="O79" s="13"/>
      <c r="P79" s="12"/>
      <c r="Q79" s="12"/>
      <c r="R79" s="12"/>
      <c r="S79" s="12"/>
    </row>
    <row r="80" ht="15" customHeight="1" s="4" customFormat="1">
      <c r="A80" s="9"/>
      <c r="B80" s="11"/>
      <c r="C80" s="11"/>
      <c r="D80" s="11"/>
      <c r="E80" s="11"/>
      <c r="F80" s="11"/>
      <c r="G80" s="14"/>
      <c r="H80" s="11"/>
      <c r="I80" s="11"/>
      <c r="J80" s="11"/>
      <c r="K80" s="11"/>
      <c r="L80" s="11"/>
      <c r="M80" s="12"/>
      <c r="N80" s="11"/>
      <c r="O80" s="13"/>
      <c r="P80" s="12"/>
      <c r="Q80" s="12"/>
      <c r="R80" s="12"/>
      <c r="S80" s="12"/>
    </row>
    <row r="81" ht="15" customHeight="1" s="4" customFormat="1">
      <c r="A81" s="9"/>
      <c r="B81" s="11"/>
      <c r="C81" s="11"/>
      <c r="D81" s="11"/>
      <c r="E81" s="11"/>
      <c r="F81" s="11"/>
      <c r="G81" s="14"/>
      <c r="H81" s="11"/>
      <c r="I81" s="11"/>
      <c r="J81" s="11"/>
      <c r="K81" s="11"/>
      <c r="L81" s="11"/>
      <c r="M81" s="12"/>
      <c r="N81" s="11"/>
      <c r="O81" s="13"/>
      <c r="P81" s="12"/>
      <c r="Q81" s="12"/>
      <c r="R81" s="12"/>
      <c r="S81" s="12"/>
    </row>
    <row r="82" ht="15" customHeight="1" s="4" customFormat="1">
      <c r="A82" s="9"/>
      <c r="B82" s="11"/>
      <c r="C82" s="11"/>
      <c r="D82" s="11"/>
      <c r="E82" s="11"/>
      <c r="F82" s="11"/>
      <c r="G82" s="14"/>
      <c r="H82" s="11"/>
      <c r="I82" s="11"/>
      <c r="J82" s="11"/>
      <c r="K82" s="11"/>
      <c r="L82" s="11"/>
      <c r="M82" s="12"/>
      <c r="N82" s="11"/>
      <c r="O82" s="13"/>
      <c r="P82" s="12"/>
      <c r="Q82" s="12"/>
      <c r="R82" s="12"/>
      <c r="S82" s="12"/>
    </row>
    <row r="83" ht="15" customHeight="1" s="4" customFormat="1">
      <c r="A83" s="9"/>
      <c r="B83" s="11"/>
      <c r="C83" s="11"/>
      <c r="D83" s="11"/>
      <c r="E83" s="11"/>
      <c r="F83" s="11"/>
      <c r="G83" s="14"/>
      <c r="H83" s="11"/>
      <c r="I83" s="11"/>
      <c r="J83" s="11"/>
      <c r="K83" s="11"/>
      <c r="L83" s="11"/>
      <c r="M83" s="12"/>
      <c r="N83" s="11"/>
      <c r="O83" s="13"/>
      <c r="P83" s="12"/>
      <c r="Q83" s="12"/>
      <c r="R83" s="12"/>
      <c r="S83" s="12"/>
    </row>
    <row r="84" ht="15" customHeight="1" s="4" customFormat="1">
      <c r="A84" s="9"/>
      <c r="B84" s="11"/>
      <c r="C84" s="11"/>
      <c r="D84" s="11"/>
      <c r="E84" s="11"/>
      <c r="F84" s="11"/>
      <c r="G84" s="14"/>
      <c r="H84" s="11"/>
      <c r="I84" s="11"/>
      <c r="J84" s="11"/>
      <c r="K84" s="11"/>
      <c r="L84" s="11"/>
      <c r="M84" s="12"/>
      <c r="N84" s="11"/>
      <c r="O84" s="13"/>
      <c r="P84" s="12"/>
      <c r="Q84" s="12"/>
      <c r="R84" s="12"/>
      <c r="S84" s="12"/>
    </row>
    <row r="85" ht="15" customHeight="1" s="4" customFormat="1">
      <c r="A85" s="9"/>
      <c r="B85" s="11"/>
      <c r="C85" s="11"/>
      <c r="D85" s="11"/>
      <c r="E85" s="11"/>
      <c r="F85" s="11"/>
      <c r="G85" s="14"/>
      <c r="H85" s="11"/>
      <c r="I85" s="11"/>
      <c r="J85" s="11"/>
      <c r="K85" s="11"/>
      <c r="L85" s="11"/>
      <c r="M85" s="12"/>
      <c r="N85" s="11"/>
      <c r="O85" s="13"/>
      <c r="P85" s="12"/>
      <c r="Q85" s="12"/>
      <c r="R85" s="12"/>
      <c r="S85" s="12"/>
    </row>
    <row r="86" ht="15" customHeight="1" s="4" customFormat="1">
      <c r="A86" s="9"/>
      <c r="B86" s="11"/>
      <c r="C86" s="11"/>
      <c r="D86" s="11"/>
      <c r="E86" s="11"/>
      <c r="F86" s="11"/>
      <c r="G86" s="14"/>
      <c r="H86" s="11"/>
      <c r="I86" s="11"/>
      <c r="J86" s="11"/>
      <c r="K86" s="11"/>
      <c r="L86" s="11"/>
      <c r="M86" s="12"/>
      <c r="N86" s="11"/>
      <c r="O86" s="13"/>
      <c r="P86" s="12"/>
      <c r="Q86" s="12"/>
      <c r="R86" s="12"/>
      <c r="S86" s="12"/>
    </row>
    <row r="87" ht="15" customHeight="1" s="4" customFormat="1">
      <c r="A87" s="9"/>
      <c r="B87" s="11"/>
      <c r="C87" s="11"/>
      <c r="D87" s="11"/>
      <c r="E87" s="11"/>
      <c r="F87" s="11"/>
      <c r="G87" s="14"/>
      <c r="H87" s="11"/>
      <c r="I87" s="11"/>
      <c r="J87" s="11"/>
      <c r="K87" s="11"/>
      <c r="L87" s="11"/>
      <c r="M87" s="12"/>
      <c r="N87" s="11"/>
      <c r="O87" s="13"/>
      <c r="P87" s="12"/>
      <c r="Q87" s="12"/>
      <c r="R87" s="12"/>
      <c r="S87" s="12"/>
    </row>
    <row r="88" ht="15" customHeight="1" s="4" customFormat="1">
      <c r="A88" s="9"/>
      <c r="B88" s="11"/>
      <c r="C88" s="11"/>
      <c r="D88" s="11"/>
      <c r="E88" s="11"/>
      <c r="F88" s="11"/>
      <c r="G88" s="14"/>
      <c r="H88" s="11"/>
      <c r="I88" s="11"/>
      <c r="J88" s="11"/>
      <c r="K88" s="11"/>
      <c r="L88" s="11"/>
      <c r="M88" s="12"/>
      <c r="N88" s="11"/>
      <c r="O88" s="13"/>
      <c r="P88" s="12"/>
      <c r="Q88" s="12"/>
      <c r="R88" s="12"/>
      <c r="S88" s="12"/>
    </row>
    <row r="89" ht="15" customHeight="1" s="4" customFormat="1">
      <c r="A89" s="9"/>
      <c r="B89" s="11"/>
      <c r="C89" s="11"/>
      <c r="D89" s="11"/>
      <c r="E89" s="11"/>
      <c r="F89" s="11"/>
      <c r="G89" s="14"/>
      <c r="H89" s="11"/>
      <c r="I89" s="11"/>
      <c r="J89" s="11"/>
      <c r="K89" s="11"/>
      <c r="L89" s="11"/>
      <c r="M89" s="12"/>
      <c r="N89" s="11"/>
      <c r="O89" s="13"/>
      <c r="P89" s="12"/>
      <c r="Q89" s="12"/>
      <c r="R89" s="12"/>
      <c r="S89" s="12"/>
    </row>
    <row r="90" ht="15" customHeight="1" s="4" customFormat="1">
      <c r="A90" s="9"/>
      <c r="B90" s="11"/>
      <c r="C90" s="11"/>
      <c r="D90" s="11"/>
      <c r="E90" s="11"/>
      <c r="F90" s="11"/>
      <c r="G90" s="14"/>
      <c r="H90" s="11"/>
      <c r="I90" s="11"/>
      <c r="J90" s="11"/>
      <c r="K90" s="11"/>
      <c r="L90" s="11"/>
      <c r="M90" s="12"/>
      <c r="N90" s="11"/>
      <c r="O90" s="13"/>
      <c r="P90" s="12"/>
      <c r="Q90" s="12"/>
      <c r="R90" s="12"/>
      <c r="S90" s="12"/>
    </row>
    <row r="91" ht="15" customHeight="1" s="4" customFormat="1">
      <c r="A91" s="9"/>
      <c r="B91" s="11"/>
      <c r="C91" s="11"/>
      <c r="D91" s="11"/>
      <c r="E91" s="11"/>
      <c r="F91" s="11"/>
      <c r="G91" s="14"/>
      <c r="H91" s="11"/>
      <c r="I91" s="11"/>
      <c r="J91" s="11"/>
      <c r="K91" s="11"/>
      <c r="L91" s="11"/>
      <c r="M91" s="12"/>
      <c r="N91" s="11"/>
      <c r="O91" s="13"/>
      <c r="P91" s="12"/>
      <c r="Q91" s="12"/>
      <c r="R91" s="12"/>
      <c r="S91" s="12"/>
    </row>
    <row r="92" ht="15" customHeight="1" s="4" customFormat="1">
      <c r="A92" s="9"/>
      <c r="B92" s="11"/>
      <c r="C92" s="11"/>
      <c r="D92" s="11"/>
      <c r="E92" s="11"/>
      <c r="F92" s="11"/>
      <c r="G92" s="14"/>
      <c r="H92" s="11"/>
      <c r="I92" s="11"/>
      <c r="J92" s="11"/>
      <c r="K92" s="11"/>
      <c r="L92" s="11"/>
      <c r="M92" s="12"/>
      <c r="N92" s="11"/>
      <c r="O92" s="13"/>
      <c r="P92" s="12"/>
      <c r="Q92" s="12"/>
      <c r="R92" s="12"/>
      <c r="S92" s="12"/>
    </row>
    <row r="93" ht="15" customHeight="1" s="4" customFormat="1">
      <c r="A93" s="9"/>
      <c r="B93" s="11"/>
      <c r="C93" s="11"/>
      <c r="D93" s="11"/>
      <c r="E93" s="11"/>
      <c r="F93" s="11"/>
      <c r="G93" s="14"/>
      <c r="H93" s="11"/>
      <c r="I93" s="11"/>
      <c r="J93" s="11"/>
      <c r="K93" s="11"/>
      <c r="L93" s="11"/>
      <c r="M93" s="12"/>
      <c r="N93" s="11"/>
      <c r="O93" s="13"/>
      <c r="P93" s="12"/>
      <c r="Q93" s="12"/>
      <c r="R93" s="12"/>
      <c r="S93" s="12"/>
    </row>
    <row r="94" ht="15" customHeight="1" s="4" customFormat="1">
      <c r="A94" s="9"/>
      <c r="B94" s="11"/>
      <c r="C94" s="11"/>
      <c r="D94" s="11"/>
      <c r="E94" s="11"/>
      <c r="F94" s="11"/>
      <c r="G94" s="14"/>
      <c r="H94" s="11"/>
      <c r="I94" s="11"/>
      <c r="J94" s="11"/>
      <c r="K94" s="11"/>
      <c r="L94" s="11"/>
      <c r="M94" s="12"/>
      <c r="N94" s="11"/>
      <c r="O94" s="13"/>
      <c r="P94" s="12"/>
      <c r="Q94" s="12"/>
      <c r="R94" s="12"/>
      <c r="S94" s="12"/>
    </row>
    <row r="95" ht="15" customHeight="1" s="4" customFormat="1">
      <c r="A95" s="9"/>
      <c r="B95" s="11"/>
      <c r="C95" s="11"/>
      <c r="D95" s="11"/>
      <c r="E95" s="11"/>
      <c r="F95" s="11"/>
      <c r="G95" s="14"/>
      <c r="H95" s="11"/>
      <c r="I95" s="11"/>
      <c r="J95" s="11"/>
      <c r="K95" s="11"/>
      <c r="L95" s="11"/>
      <c r="M95" s="12"/>
      <c r="N95" s="11"/>
      <c r="O95" s="13"/>
      <c r="P95" s="12"/>
      <c r="Q95" s="12"/>
      <c r="R95" s="12"/>
      <c r="S95" s="12"/>
    </row>
    <row r="96" ht="15" customHeight="1" s="4" customFormat="1">
      <c r="A96" s="9"/>
      <c r="B96" s="11"/>
      <c r="C96" s="11"/>
      <c r="D96" s="11"/>
      <c r="E96" s="11"/>
      <c r="F96" s="11"/>
      <c r="G96" s="14"/>
      <c r="H96" s="11"/>
      <c r="I96" s="11"/>
      <c r="J96" s="11"/>
      <c r="K96" s="11"/>
      <c r="L96" s="11"/>
      <c r="M96" s="12"/>
      <c r="N96" s="11"/>
      <c r="O96" s="13"/>
      <c r="P96" s="12"/>
      <c r="Q96" s="12"/>
      <c r="R96" s="12"/>
      <c r="S96" s="12"/>
    </row>
    <row r="97" ht="15" customHeight="1" s="4" customFormat="1">
      <c r="A97" s="9"/>
      <c r="B97" s="11"/>
      <c r="C97" s="11"/>
      <c r="D97" s="11"/>
      <c r="E97" s="11"/>
      <c r="F97" s="11"/>
      <c r="G97" s="14"/>
      <c r="H97" s="11"/>
      <c r="I97" s="11"/>
      <c r="J97" s="11"/>
      <c r="K97" s="11"/>
      <c r="L97" s="11"/>
      <c r="M97" s="12"/>
      <c r="N97" s="11"/>
      <c r="O97" s="13"/>
      <c r="P97" s="12"/>
      <c r="Q97" s="12"/>
      <c r="R97" s="12"/>
      <c r="S97" s="12"/>
    </row>
    <row r="98" ht="15" customHeight="1" s="4" customFormat="1">
      <c r="A98" s="9"/>
      <c r="B98" s="11"/>
      <c r="C98" s="11"/>
      <c r="D98" s="11"/>
      <c r="E98" s="11"/>
      <c r="F98" s="11"/>
      <c r="G98" s="14"/>
      <c r="H98" s="11"/>
      <c r="I98" s="11"/>
      <c r="J98" s="11"/>
      <c r="K98" s="11"/>
      <c r="L98" s="11"/>
      <c r="M98" s="12"/>
      <c r="N98" s="11"/>
      <c r="O98" s="13"/>
      <c r="P98" s="12"/>
      <c r="Q98" s="12"/>
      <c r="R98" s="12"/>
      <c r="S98" s="12"/>
    </row>
    <row r="99" ht="15" customHeight="1" s="4" customFormat="1">
      <c r="A99" s="9"/>
      <c r="B99" s="11"/>
      <c r="C99" s="11"/>
      <c r="D99" s="11"/>
      <c r="E99" s="11"/>
      <c r="F99" s="11"/>
      <c r="G99" s="14"/>
      <c r="H99" s="11"/>
      <c r="I99" s="11"/>
      <c r="J99" s="11"/>
      <c r="K99" s="11"/>
      <c r="L99" s="11"/>
      <c r="M99" s="12"/>
      <c r="N99" s="11"/>
      <c r="O99" s="13"/>
      <c r="P99" s="12"/>
      <c r="Q99" s="12"/>
      <c r="R99" s="12"/>
      <c r="S99" s="12"/>
    </row>
    <row r="100" ht="15" customHeight="1" s="4" customFormat="1">
      <c r="A100" s="9"/>
      <c r="B100" s="11"/>
      <c r="C100" s="11"/>
      <c r="D100" s="11"/>
      <c r="E100" s="11"/>
      <c r="F100" s="11"/>
      <c r="G100" s="14"/>
      <c r="H100" s="11"/>
      <c r="I100" s="11"/>
      <c r="J100" s="11"/>
      <c r="K100" s="11"/>
      <c r="L100" s="11"/>
      <c r="M100" s="12"/>
      <c r="N100" s="11"/>
      <c r="O100" s="13"/>
      <c r="P100" s="12"/>
      <c r="Q100" s="12"/>
      <c r="R100" s="12"/>
      <c r="S100" s="12"/>
    </row>
    <row r="101" ht="15" customHeight="1" s="4" customFormat="1">
      <c r="A101" s="9"/>
      <c r="B101" s="11"/>
      <c r="C101" s="11"/>
      <c r="D101" s="11"/>
      <c r="E101" s="11"/>
      <c r="F101" s="11"/>
      <c r="G101" s="14"/>
      <c r="H101" s="11"/>
      <c r="I101" s="11"/>
      <c r="J101" s="11"/>
      <c r="K101" s="11"/>
      <c r="L101" s="11"/>
      <c r="M101" s="12"/>
      <c r="N101" s="11"/>
      <c r="O101" s="13"/>
      <c r="P101" s="12"/>
      <c r="Q101" s="12"/>
      <c r="R101" s="12"/>
      <c r="S101" s="12"/>
    </row>
    <row r="102" ht="15" customHeight="1" s="4" customFormat="1">
      <c r="A102" s="9"/>
      <c r="B102" s="11"/>
      <c r="C102" s="11"/>
      <c r="D102" s="11"/>
      <c r="E102" s="11"/>
      <c r="F102" s="11"/>
      <c r="G102" s="14"/>
      <c r="H102" s="11"/>
      <c r="I102" s="11"/>
      <c r="J102" s="11"/>
      <c r="K102" s="11"/>
      <c r="L102" s="11"/>
      <c r="M102" s="12"/>
      <c r="N102" s="11"/>
      <c r="O102" s="13"/>
      <c r="P102" s="12"/>
      <c r="Q102" s="12"/>
      <c r="R102" s="12"/>
      <c r="S102" s="12"/>
    </row>
    <row r="103" ht="15" customHeight="1" s="4" customFormat="1">
      <c r="A103" s="9"/>
      <c r="B103" s="11"/>
      <c r="C103" s="11"/>
      <c r="D103" s="11"/>
      <c r="E103" s="11"/>
      <c r="F103" s="11"/>
      <c r="G103" s="14"/>
      <c r="H103" s="11"/>
      <c r="I103" s="11"/>
      <c r="J103" s="11"/>
      <c r="K103" s="11"/>
      <c r="L103" s="11"/>
      <c r="M103" s="12"/>
      <c r="N103" s="11"/>
      <c r="O103" s="13"/>
      <c r="P103" s="12"/>
      <c r="Q103" s="12"/>
      <c r="R103" s="12"/>
      <c r="S103" s="12"/>
    </row>
    <row r="104" ht="15" customHeight="1" s="4" customFormat="1">
      <c r="A104" s="9"/>
      <c r="B104" s="11"/>
      <c r="C104" s="11"/>
      <c r="D104" s="11"/>
      <c r="E104" s="11"/>
      <c r="F104" s="11"/>
      <c r="G104" s="14"/>
      <c r="H104" s="11"/>
      <c r="I104" s="11"/>
      <c r="J104" s="11"/>
      <c r="K104" s="11"/>
      <c r="L104" s="11"/>
      <c r="M104" s="12"/>
      <c r="N104" s="11"/>
      <c r="O104" s="13"/>
      <c r="P104" s="12"/>
      <c r="Q104" s="12"/>
      <c r="R104" s="12"/>
      <c r="S104" s="12"/>
    </row>
    <row r="105" ht="15" customHeight="1" s="4" customFormat="1">
      <c r="A105" s="9"/>
      <c r="B105" s="11"/>
      <c r="C105" s="11"/>
      <c r="D105" s="11"/>
      <c r="E105" s="11"/>
      <c r="F105" s="11"/>
      <c r="G105" s="14"/>
      <c r="H105" s="11"/>
      <c r="I105" s="11"/>
      <c r="J105" s="11"/>
      <c r="K105" s="11"/>
      <c r="L105" s="11"/>
      <c r="M105" s="12"/>
      <c r="N105" s="11"/>
      <c r="O105" s="13"/>
      <c r="P105" s="12"/>
      <c r="Q105" s="12"/>
      <c r="R105" s="12"/>
      <c r="S105" s="12"/>
    </row>
    <row r="106" ht="15" customHeight="1" s="4" customFormat="1">
      <c r="A106" s="9"/>
      <c r="B106" s="11"/>
      <c r="C106" s="11"/>
      <c r="D106" s="11"/>
      <c r="E106" s="11"/>
      <c r="F106" s="11"/>
      <c r="G106" s="14"/>
      <c r="H106" s="11"/>
      <c r="I106" s="11"/>
      <c r="J106" s="11"/>
      <c r="K106" s="11"/>
      <c r="L106" s="11"/>
      <c r="M106" s="12"/>
      <c r="N106" s="11"/>
      <c r="O106" s="13"/>
      <c r="P106" s="12"/>
      <c r="Q106" s="12"/>
      <c r="R106" s="12"/>
      <c r="S106" s="12"/>
    </row>
    <row r="107" ht="15" customHeight="1" s="4" customFormat="1">
      <c r="A107" s="9"/>
      <c r="B107" s="11"/>
      <c r="C107" s="11"/>
      <c r="D107" s="11"/>
      <c r="E107" s="11"/>
      <c r="F107" s="11"/>
      <c r="G107" s="14"/>
      <c r="H107" s="11"/>
      <c r="I107" s="11"/>
      <c r="J107" s="11"/>
      <c r="K107" s="11"/>
      <c r="L107" s="11"/>
      <c r="M107" s="12"/>
      <c r="N107" s="11"/>
      <c r="O107" s="13"/>
      <c r="P107" s="12"/>
      <c r="Q107" s="12"/>
      <c r="R107" s="12"/>
      <c r="S107" s="12"/>
    </row>
    <row r="108" ht="15" customHeight="1" s="4" customFormat="1">
      <c r="A108" s="9"/>
      <c r="B108" s="11"/>
      <c r="C108" s="11"/>
      <c r="D108" s="11"/>
      <c r="E108" s="11"/>
      <c r="F108" s="11"/>
      <c r="G108" s="14"/>
      <c r="H108" s="11"/>
      <c r="I108" s="11"/>
      <c r="J108" s="11"/>
      <c r="K108" s="11"/>
      <c r="L108" s="11"/>
      <c r="M108" s="12"/>
      <c r="N108" s="11"/>
      <c r="O108" s="13"/>
      <c r="P108" s="12"/>
      <c r="Q108" s="12"/>
      <c r="R108" s="12"/>
      <c r="S108" s="12"/>
    </row>
    <row r="109" ht="15" customHeight="1" s="4" customFormat="1">
      <c r="A109" s="9"/>
      <c r="B109" s="11"/>
      <c r="C109" s="11"/>
      <c r="D109" s="11"/>
      <c r="E109" s="11"/>
      <c r="F109" s="11"/>
      <c r="G109" s="14"/>
      <c r="H109" s="11"/>
      <c r="I109" s="11"/>
      <c r="J109" s="11"/>
      <c r="K109" s="11"/>
      <c r="L109" s="11"/>
      <c r="M109" s="12"/>
      <c r="N109" s="11"/>
      <c r="O109" s="13"/>
      <c r="P109" s="12"/>
      <c r="Q109" s="12"/>
      <c r="R109" s="12"/>
      <c r="S109" s="12"/>
    </row>
    <row r="110" ht="15" customHeight="1" s="4" customFormat="1">
      <c r="A110" s="9"/>
      <c r="B110" s="11"/>
      <c r="C110" s="11"/>
      <c r="D110" s="11"/>
      <c r="E110" s="11"/>
      <c r="F110" s="11"/>
      <c r="G110" s="14"/>
      <c r="H110" s="11"/>
      <c r="I110" s="11"/>
      <c r="J110" s="11"/>
      <c r="K110" s="11"/>
      <c r="L110" s="11"/>
      <c r="M110" s="12"/>
      <c r="N110" s="11"/>
      <c r="O110" s="13"/>
      <c r="P110" s="12"/>
      <c r="Q110" s="12"/>
      <c r="R110" s="12"/>
      <c r="S110" s="12"/>
    </row>
    <row r="111" ht="15" customHeight="1" s="4" customFormat="1">
      <c r="A111" s="9"/>
      <c r="B111" s="11"/>
      <c r="C111" s="11"/>
      <c r="D111" s="11"/>
      <c r="E111" s="11"/>
      <c r="F111" s="11"/>
      <c r="G111" s="14"/>
      <c r="H111" s="11"/>
      <c r="I111" s="11"/>
      <c r="J111" s="11"/>
      <c r="K111" s="11"/>
      <c r="L111" s="11"/>
      <c r="M111" s="12"/>
      <c r="N111" s="11"/>
      <c r="O111" s="13"/>
      <c r="P111" s="12"/>
      <c r="Q111" s="12"/>
      <c r="R111" s="12"/>
      <c r="S111" s="12"/>
    </row>
    <row r="112" ht="15" customHeight="1" s="4" customFormat="1">
      <c r="A112" s="9"/>
      <c r="B112" s="11"/>
      <c r="C112" s="11"/>
      <c r="D112" s="11"/>
      <c r="E112" s="11"/>
      <c r="F112" s="11"/>
      <c r="G112" s="14"/>
      <c r="H112" s="11"/>
      <c r="I112" s="11"/>
      <c r="J112" s="11"/>
      <c r="K112" s="11"/>
      <c r="L112" s="11"/>
      <c r="M112" s="12"/>
      <c r="N112" s="11"/>
      <c r="O112" s="13"/>
      <c r="P112" s="12"/>
      <c r="Q112" s="12"/>
      <c r="R112" s="12"/>
      <c r="S112" s="12"/>
    </row>
    <row r="113" ht="15" customHeight="1" s="4" customFormat="1">
      <c r="A113" s="9"/>
      <c r="B113" s="11"/>
      <c r="C113" s="11"/>
      <c r="D113" s="11"/>
      <c r="E113" s="11"/>
      <c r="F113" s="11"/>
      <c r="G113" s="14"/>
      <c r="H113" s="11"/>
      <c r="I113" s="11"/>
      <c r="J113" s="11"/>
      <c r="K113" s="11"/>
      <c r="L113" s="11"/>
      <c r="M113" s="12"/>
      <c r="N113" s="11"/>
      <c r="O113" s="13"/>
      <c r="P113" s="12"/>
      <c r="Q113" s="12"/>
      <c r="R113" s="12"/>
      <c r="S113" s="12"/>
    </row>
    <row r="114" ht="15" customHeight="1" s="4" customFormat="1">
      <c r="A114" s="9"/>
      <c r="B114" s="11"/>
      <c r="C114" s="11"/>
      <c r="D114" s="11"/>
      <c r="E114" s="11"/>
      <c r="F114" s="11"/>
      <c r="G114" s="14"/>
      <c r="H114" s="11"/>
      <c r="I114" s="11"/>
      <c r="J114" s="11"/>
      <c r="K114" s="11"/>
      <c r="L114" s="11"/>
      <c r="M114" s="12"/>
      <c r="N114" s="11"/>
      <c r="O114" s="13"/>
      <c r="P114" s="12"/>
      <c r="Q114" s="12"/>
      <c r="R114" s="12"/>
      <c r="S114" s="12"/>
    </row>
    <row r="115" ht="15" customHeight="1" s="4" customFormat="1">
      <c r="A115" s="9"/>
      <c r="B115" s="11"/>
      <c r="C115" s="11"/>
      <c r="D115" s="11"/>
      <c r="E115" s="11"/>
      <c r="F115" s="11"/>
      <c r="G115" s="14"/>
      <c r="H115" s="11"/>
      <c r="I115" s="11"/>
      <c r="J115" s="11"/>
      <c r="K115" s="11"/>
      <c r="L115" s="11"/>
      <c r="M115" s="12"/>
      <c r="N115" s="11"/>
      <c r="O115" s="13"/>
      <c r="P115" s="12"/>
      <c r="Q115" s="12"/>
      <c r="R115" s="12"/>
      <c r="S115" s="12"/>
    </row>
    <row r="116" ht="15" customHeight="1" s="4" customFormat="1">
      <c r="A116" s="9"/>
      <c r="B116" s="11"/>
      <c r="C116" s="11"/>
      <c r="D116" s="11"/>
      <c r="E116" s="11"/>
      <c r="F116" s="11"/>
      <c r="G116" s="14"/>
      <c r="H116" s="11"/>
      <c r="I116" s="11"/>
      <c r="J116" s="11"/>
      <c r="K116" s="11"/>
      <c r="L116" s="11"/>
      <c r="M116" s="12"/>
      <c r="N116" s="11"/>
      <c r="O116" s="13"/>
      <c r="P116" s="12"/>
      <c r="Q116" s="12"/>
      <c r="R116" s="12"/>
      <c r="S116" s="12"/>
    </row>
    <row r="117" ht="15" customHeight="1" s="4" customFormat="1">
      <c r="A117" s="9"/>
      <c r="B117" s="11"/>
      <c r="C117" s="11"/>
      <c r="D117" s="11"/>
      <c r="E117" s="11"/>
      <c r="F117" s="11"/>
      <c r="G117" s="14"/>
      <c r="H117" s="11"/>
      <c r="I117" s="11"/>
      <c r="J117" s="11"/>
      <c r="K117" s="11"/>
      <c r="L117" s="11"/>
      <c r="M117" s="12"/>
      <c r="N117" s="11"/>
      <c r="O117" s="13"/>
      <c r="P117" s="12"/>
      <c r="Q117" s="12"/>
      <c r="R117" s="12"/>
      <c r="S117" s="12"/>
    </row>
    <row r="118" ht="15" customHeight="1" s="4" customFormat="1">
      <c r="A118" s="9"/>
      <c r="B118" s="11"/>
      <c r="C118" s="11"/>
      <c r="D118" s="11"/>
      <c r="E118" s="11"/>
      <c r="F118" s="11"/>
      <c r="G118" s="14"/>
      <c r="H118" s="11"/>
      <c r="I118" s="11"/>
      <c r="J118" s="11"/>
      <c r="K118" s="11"/>
      <c r="L118" s="11"/>
      <c r="M118" s="12"/>
      <c r="N118" s="11"/>
      <c r="O118" s="13"/>
      <c r="P118" s="12"/>
      <c r="Q118" s="12"/>
      <c r="R118" s="12"/>
      <c r="S118" s="12"/>
    </row>
    <row r="119" ht="15" customHeight="1" s="4" customFormat="1">
      <c r="A119" s="9"/>
      <c r="B119" s="11"/>
      <c r="C119" s="11"/>
      <c r="D119" s="11"/>
      <c r="E119" s="11"/>
      <c r="F119" s="11"/>
      <c r="G119" s="14"/>
      <c r="H119" s="11"/>
      <c r="I119" s="11"/>
      <c r="J119" s="11"/>
      <c r="K119" s="11"/>
      <c r="L119" s="11"/>
      <c r="M119" s="12"/>
      <c r="N119" s="11"/>
      <c r="O119" s="13"/>
      <c r="P119" s="12"/>
      <c r="Q119" s="12"/>
      <c r="R119" s="12"/>
      <c r="S119" s="12"/>
    </row>
    <row r="120" ht="15" customHeight="1" s="4" customFormat="1">
      <c r="A120" s="9"/>
      <c r="B120" s="11"/>
      <c r="C120" s="11"/>
      <c r="D120" s="11"/>
      <c r="E120" s="11"/>
      <c r="F120" s="11"/>
      <c r="G120" s="14"/>
      <c r="H120" s="11"/>
      <c r="I120" s="11"/>
      <c r="J120" s="11"/>
      <c r="K120" s="11"/>
      <c r="L120" s="11"/>
      <c r="M120" s="12"/>
      <c r="N120" s="11"/>
      <c r="O120" s="13"/>
      <c r="P120" s="12"/>
      <c r="Q120" s="12"/>
      <c r="R120" s="12"/>
      <c r="S120" s="12"/>
    </row>
    <row r="121" ht="15" customHeight="1" s="4" customFormat="1">
      <c r="A121" s="9"/>
      <c r="B121" s="11"/>
      <c r="C121" s="11"/>
      <c r="D121" s="11"/>
      <c r="E121" s="11"/>
      <c r="F121" s="11"/>
      <c r="G121" s="14"/>
      <c r="H121" s="11"/>
      <c r="I121" s="11"/>
      <c r="J121" s="11"/>
      <c r="K121" s="11"/>
      <c r="L121" s="11"/>
      <c r="M121" s="12"/>
      <c r="N121" s="11"/>
      <c r="O121" s="13"/>
      <c r="P121" s="12"/>
      <c r="Q121" s="12"/>
      <c r="R121" s="12"/>
      <c r="S121" s="12"/>
    </row>
    <row r="122" ht="15" customHeight="1" s="4" customFormat="1">
      <c r="A122" s="9"/>
      <c r="B122" s="11"/>
      <c r="C122" s="11"/>
      <c r="D122" s="11"/>
      <c r="E122" s="11"/>
      <c r="F122" s="11"/>
      <c r="G122" s="14"/>
      <c r="H122" s="11"/>
      <c r="I122" s="11"/>
      <c r="J122" s="11"/>
      <c r="K122" s="11"/>
      <c r="L122" s="11"/>
      <c r="M122" s="12"/>
      <c r="N122" s="11"/>
      <c r="O122" s="13"/>
      <c r="P122" s="12"/>
      <c r="Q122" s="12"/>
      <c r="R122" s="12"/>
      <c r="S122" s="12"/>
    </row>
    <row r="123" ht="15" customHeight="1" s="4" customFormat="1">
      <c r="A123" s="9"/>
      <c r="B123" s="11"/>
      <c r="C123" s="11"/>
      <c r="D123" s="11"/>
      <c r="E123" s="11"/>
      <c r="F123" s="11"/>
      <c r="G123" s="14"/>
      <c r="H123" s="11"/>
      <c r="I123" s="11"/>
      <c r="J123" s="11"/>
      <c r="K123" s="11"/>
      <c r="L123" s="11"/>
      <c r="M123" s="12"/>
      <c r="N123" s="11"/>
      <c r="O123" s="13"/>
      <c r="P123" s="12"/>
      <c r="Q123" s="12"/>
      <c r="R123" s="12"/>
      <c r="S123" s="12"/>
    </row>
    <row r="124" ht="15" customHeight="1" s="4" customFormat="1">
      <c r="A124" s="9"/>
      <c r="B124" s="11"/>
      <c r="C124" s="11"/>
      <c r="D124" s="11"/>
      <c r="E124" s="11"/>
      <c r="F124" s="11"/>
      <c r="G124" s="14"/>
      <c r="H124" s="11"/>
      <c r="I124" s="11"/>
      <c r="J124" s="11"/>
      <c r="K124" s="11"/>
      <c r="L124" s="11"/>
      <c r="M124" s="12"/>
      <c r="N124" s="11"/>
      <c r="O124" s="13"/>
      <c r="P124" s="12"/>
      <c r="Q124" s="12"/>
      <c r="R124" s="12"/>
      <c r="S124" s="12"/>
    </row>
    <row r="125" ht="15" customHeight="1" s="4" customFormat="1">
      <c r="A125" s="9"/>
      <c r="B125" s="11"/>
      <c r="C125" s="11"/>
      <c r="D125" s="11"/>
      <c r="E125" s="11"/>
      <c r="F125" s="11"/>
      <c r="G125" s="14"/>
      <c r="H125" s="11"/>
      <c r="I125" s="11"/>
      <c r="J125" s="11"/>
      <c r="K125" s="11"/>
      <c r="L125" s="11"/>
      <c r="M125" s="12"/>
      <c r="N125" s="11"/>
      <c r="O125" s="13"/>
      <c r="P125" s="12"/>
      <c r="Q125" s="12"/>
      <c r="R125" s="12"/>
      <c r="S125" s="12"/>
    </row>
    <row r="126" ht="15" customHeight="1" s="4" customFormat="1">
      <c r="A126" s="9"/>
      <c r="B126" s="11"/>
      <c r="C126" s="11"/>
      <c r="D126" s="11"/>
      <c r="E126" s="11"/>
      <c r="F126" s="11"/>
      <c r="G126" s="14"/>
      <c r="H126" s="11"/>
      <c r="I126" s="11"/>
      <c r="J126" s="11"/>
      <c r="K126" s="11"/>
      <c r="L126" s="11"/>
      <c r="M126" s="12"/>
      <c r="N126" s="11"/>
      <c r="O126" s="13"/>
      <c r="P126" s="12"/>
      <c r="Q126" s="12"/>
      <c r="R126" s="12"/>
      <c r="S126" s="12"/>
    </row>
    <row r="127" ht="15" customHeight="1" s="4" customFormat="1">
      <c r="A127" s="9"/>
      <c r="B127" s="11"/>
      <c r="C127" s="11"/>
      <c r="D127" s="11"/>
      <c r="E127" s="11"/>
      <c r="F127" s="11"/>
      <c r="G127" s="14"/>
      <c r="H127" s="11"/>
      <c r="I127" s="11"/>
      <c r="J127" s="11"/>
      <c r="K127" s="11"/>
      <c r="L127" s="11"/>
      <c r="M127" s="12"/>
      <c r="N127" s="11"/>
      <c r="O127" s="13"/>
      <c r="P127" s="12"/>
      <c r="Q127" s="12"/>
      <c r="R127" s="12"/>
      <c r="S127" s="12"/>
    </row>
    <row r="128" ht="15" customHeight="1" s="4" customFormat="1">
      <c r="A128" s="9"/>
      <c r="B128" s="11"/>
      <c r="C128" s="11"/>
      <c r="D128" s="11"/>
      <c r="E128" s="11"/>
      <c r="F128" s="11"/>
      <c r="G128" s="14"/>
      <c r="H128" s="11"/>
      <c r="I128" s="11"/>
      <c r="J128" s="11"/>
      <c r="K128" s="11"/>
      <c r="L128" s="11"/>
      <c r="M128" s="12"/>
      <c r="N128" s="11"/>
      <c r="O128" s="13"/>
      <c r="P128" s="12"/>
      <c r="Q128" s="12"/>
      <c r="R128" s="12"/>
      <c r="S128" s="12"/>
    </row>
    <row r="129" ht="15" customHeight="1" s="4" customFormat="1">
      <c r="A129" s="9"/>
      <c r="B129" s="11"/>
      <c r="C129" s="11"/>
      <c r="D129" s="11"/>
      <c r="E129" s="11"/>
      <c r="F129" s="11"/>
      <c r="G129" s="14"/>
      <c r="H129" s="11"/>
      <c r="I129" s="11"/>
      <c r="J129" s="11"/>
      <c r="K129" s="11"/>
      <c r="L129" s="11"/>
      <c r="M129" s="12"/>
      <c r="N129" s="11"/>
      <c r="O129" s="13"/>
      <c r="P129" s="12"/>
      <c r="Q129" s="12"/>
      <c r="R129" s="12"/>
      <c r="S129" s="12"/>
    </row>
    <row r="130" ht="15" customHeight="1" s="4" customFormat="1">
      <c r="A130" s="9"/>
      <c r="B130" s="11"/>
      <c r="C130" s="11"/>
      <c r="D130" s="11"/>
      <c r="E130" s="11"/>
      <c r="F130" s="11"/>
      <c r="G130" s="14"/>
      <c r="H130" s="11"/>
      <c r="I130" s="11"/>
      <c r="J130" s="11"/>
      <c r="K130" s="11"/>
      <c r="L130" s="11"/>
      <c r="M130" s="12"/>
      <c r="N130" s="11"/>
      <c r="O130" s="13"/>
      <c r="P130" s="12"/>
      <c r="Q130" s="12"/>
      <c r="R130" s="12"/>
      <c r="S130" s="12"/>
    </row>
    <row r="131" ht="15" customHeight="1" s="4" customFormat="1">
      <c r="A131" s="9"/>
      <c r="B131" s="11"/>
      <c r="C131" s="11"/>
      <c r="D131" s="11"/>
      <c r="E131" s="11"/>
      <c r="F131" s="11"/>
      <c r="G131" s="14"/>
      <c r="H131" s="11"/>
      <c r="I131" s="11"/>
      <c r="J131" s="11"/>
      <c r="K131" s="11"/>
      <c r="L131" s="11"/>
      <c r="M131" s="12"/>
      <c r="N131" s="11"/>
      <c r="O131" s="13"/>
      <c r="P131" s="12"/>
      <c r="Q131" s="12"/>
      <c r="R131" s="12"/>
      <c r="S131" s="12"/>
    </row>
    <row r="132" ht="15" customHeight="1" s="4" customFormat="1">
      <c r="A132" s="9"/>
      <c r="B132" s="11"/>
      <c r="C132" s="11"/>
      <c r="D132" s="11"/>
      <c r="E132" s="11"/>
      <c r="F132" s="11"/>
      <c r="G132" s="14"/>
      <c r="H132" s="11"/>
      <c r="I132" s="11"/>
      <c r="J132" s="11"/>
      <c r="K132" s="11"/>
      <c r="L132" s="11"/>
      <c r="M132" s="12"/>
      <c r="N132" s="11"/>
      <c r="O132" s="13"/>
      <c r="P132" s="12"/>
      <c r="Q132" s="12"/>
      <c r="R132" s="12"/>
      <c r="S132" s="12"/>
    </row>
    <row r="133" ht="15" customHeight="1" s="4" customFormat="1">
      <c r="A133" s="9"/>
      <c r="B133" s="11"/>
      <c r="C133" s="11"/>
      <c r="D133" s="11"/>
      <c r="E133" s="11"/>
      <c r="F133" s="11"/>
      <c r="G133" s="14"/>
      <c r="H133" s="11"/>
      <c r="I133" s="11"/>
      <c r="J133" s="11"/>
      <c r="K133" s="11"/>
      <c r="L133" s="11"/>
      <c r="M133" s="12"/>
      <c r="N133" s="11"/>
      <c r="O133" s="13"/>
      <c r="P133" s="12"/>
      <c r="Q133" s="12"/>
      <c r="R133" s="12"/>
      <c r="S133" s="12"/>
    </row>
    <row r="134" ht="15" customHeight="1" s="4" customFormat="1">
      <c r="A134" s="9"/>
      <c r="B134" s="11"/>
      <c r="C134" s="11"/>
      <c r="D134" s="11"/>
      <c r="E134" s="11"/>
      <c r="F134" s="11"/>
      <c r="G134" s="14"/>
      <c r="H134" s="11"/>
      <c r="I134" s="11"/>
      <c r="J134" s="11"/>
      <c r="K134" s="11"/>
      <c r="L134" s="11"/>
      <c r="M134" s="12"/>
      <c r="N134" s="11"/>
      <c r="O134" s="13"/>
      <c r="P134" s="12"/>
      <c r="Q134" s="12"/>
      <c r="R134" s="12"/>
      <c r="S134" s="12"/>
    </row>
    <row r="135" ht="15" customHeight="1" s="4" customFormat="1">
      <c r="A135" s="9"/>
      <c r="B135" s="11"/>
      <c r="C135" s="11"/>
      <c r="D135" s="11"/>
      <c r="E135" s="11"/>
      <c r="F135" s="11"/>
      <c r="G135" s="14"/>
      <c r="H135" s="11"/>
      <c r="I135" s="11"/>
      <c r="J135" s="11"/>
      <c r="K135" s="11"/>
      <c r="L135" s="11"/>
      <c r="M135" s="12"/>
      <c r="N135" s="11"/>
      <c r="O135" s="13"/>
      <c r="P135" s="12"/>
      <c r="Q135" s="12"/>
      <c r="R135" s="12"/>
      <c r="S135" s="12"/>
    </row>
    <row r="136" ht="15" customHeight="1" s="4" customFormat="1">
      <c r="A136" s="9"/>
      <c r="B136" s="11"/>
      <c r="C136" s="11"/>
      <c r="D136" s="11"/>
      <c r="E136" s="11"/>
      <c r="F136" s="11"/>
      <c r="G136" s="14"/>
      <c r="H136" s="11"/>
      <c r="I136" s="11"/>
      <c r="J136" s="11"/>
      <c r="K136" s="11"/>
      <c r="L136" s="11"/>
      <c r="M136" s="12"/>
      <c r="N136" s="11"/>
      <c r="O136" s="13"/>
      <c r="P136" s="12"/>
      <c r="Q136" s="12"/>
      <c r="R136" s="12"/>
      <c r="S136" s="12"/>
    </row>
    <row r="137" ht="15" customHeight="1" s="4" customFormat="1">
      <c r="A137" s="9"/>
      <c r="B137" s="11"/>
      <c r="C137" s="11"/>
      <c r="D137" s="11"/>
      <c r="E137" s="11"/>
      <c r="F137" s="11"/>
      <c r="G137" s="14"/>
      <c r="H137" s="11"/>
      <c r="I137" s="11"/>
      <c r="J137" s="11"/>
      <c r="K137" s="11"/>
      <c r="L137" s="11"/>
      <c r="M137" s="12"/>
      <c r="N137" s="11"/>
      <c r="O137" s="13"/>
      <c r="P137" s="12"/>
      <c r="Q137" s="12"/>
      <c r="R137" s="12"/>
      <c r="S137" s="12"/>
    </row>
    <row r="138" ht="15" customHeight="1" s="4" customFormat="1">
      <c r="A138" s="9"/>
      <c r="B138" s="11"/>
      <c r="C138" s="11"/>
      <c r="D138" s="11"/>
      <c r="E138" s="11"/>
      <c r="F138" s="11"/>
      <c r="G138" s="14"/>
      <c r="H138" s="11"/>
      <c r="I138" s="11"/>
      <c r="J138" s="11"/>
      <c r="K138" s="11"/>
      <c r="L138" s="11"/>
      <c r="M138" s="12"/>
      <c r="N138" s="11"/>
      <c r="O138" s="13"/>
      <c r="P138" s="12"/>
      <c r="Q138" s="12"/>
      <c r="R138" s="12"/>
      <c r="S138" s="12"/>
    </row>
    <row r="139" ht="15" customHeight="1" s="4" customFormat="1">
      <c r="A139" s="9"/>
      <c r="B139" s="11"/>
      <c r="C139" s="11"/>
      <c r="D139" s="11"/>
      <c r="E139" s="11"/>
      <c r="F139" s="11"/>
      <c r="G139" s="14"/>
      <c r="H139" s="11"/>
      <c r="I139" s="11"/>
      <c r="J139" s="11"/>
      <c r="K139" s="11"/>
      <c r="L139" s="11"/>
      <c r="M139" s="12"/>
      <c r="N139" s="11"/>
      <c r="O139" s="13"/>
      <c r="P139" s="12"/>
      <c r="Q139" s="12"/>
      <c r="R139" s="12"/>
      <c r="S139" s="12"/>
    </row>
    <row r="140" ht="15" customHeight="1" s="4" customFormat="1">
      <c r="A140" s="9"/>
      <c r="B140" s="11"/>
      <c r="C140" s="11"/>
      <c r="D140" s="11"/>
      <c r="E140" s="11"/>
      <c r="F140" s="11"/>
      <c r="G140" s="14"/>
      <c r="H140" s="11"/>
      <c r="I140" s="11"/>
      <c r="J140" s="11"/>
      <c r="K140" s="11"/>
      <c r="L140" s="11"/>
      <c r="M140" s="12"/>
      <c r="N140" s="11"/>
      <c r="O140" s="13"/>
      <c r="P140" s="12"/>
      <c r="Q140" s="12"/>
      <c r="R140" s="12"/>
      <c r="S140" s="12"/>
    </row>
    <row r="141" ht="15" customHeight="1" s="4" customFormat="1">
      <c r="A141" s="9"/>
      <c r="B141" s="11"/>
      <c r="C141" s="11"/>
      <c r="D141" s="11"/>
      <c r="E141" s="11"/>
      <c r="F141" s="11"/>
      <c r="G141" s="14"/>
      <c r="H141" s="11"/>
      <c r="I141" s="11"/>
      <c r="J141" s="11"/>
      <c r="K141" s="11"/>
      <c r="L141" s="11"/>
      <c r="M141" s="12"/>
      <c r="N141" s="11"/>
      <c r="O141" s="13"/>
      <c r="P141" s="12"/>
      <c r="Q141" s="12"/>
      <c r="R141" s="12"/>
      <c r="S141" s="12"/>
    </row>
    <row r="142" ht="15" customHeight="1" s="4" customFormat="1">
      <c r="A142" s="9"/>
      <c r="B142" s="11"/>
      <c r="C142" s="11"/>
      <c r="D142" s="11"/>
      <c r="E142" s="11"/>
      <c r="F142" s="11"/>
      <c r="G142" s="14"/>
      <c r="H142" s="11"/>
      <c r="I142" s="11"/>
      <c r="J142" s="11"/>
      <c r="K142" s="11"/>
      <c r="L142" s="11"/>
      <c r="M142" s="12"/>
      <c r="N142" s="11"/>
      <c r="O142" s="13"/>
      <c r="P142" s="12"/>
      <c r="Q142" s="12"/>
      <c r="R142" s="12"/>
      <c r="S142" s="12"/>
    </row>
    <row r="143" ht="15" customHeight="1" s="4" customFormat="1">
      <c r="A143" s="9"/>
      <c r="B143" s="11"/>
      <c r="C143" s="11"/>
      <c r="D143" s="11"/>
      <c r="E143" s="11"/>
      <c r="F143" s="11"/>
      <c r="G143" s="14"/>
      <c r="H143" s="11"/>
      <c r="I143" s="11"/>
      <c r="J143" s="11"/>
      <c r="K143" s="11"/>
      <c r="L143" s="11"/>
      <c r="M143" s="12"/>
      <c r="N143" s="11"/>
      <c r="O143" s="13"/>
      <c r="P143" s="12"/>
      <c r="Q143" s="12"/>
      <c r="R143" s="12"/>
      <c r="S143" s="12"/>
    </row>
    <row r="144" ht="15" customHeight="1" s="4" customFormat="1">
      <c r="A144" s="9"/>
      <c r="B144" s="11"/>
      <c r="C144" s="11"/>
      <c r="D144" s="11"/>
      <c r="E144" s="11"/>
      <c r="F144" s="11"/>
      <c r="G144" s="14"/>
      <c r="H144" s="11"/>
      <c r="I144" s="11"/>
      <c r="J144" s="11"/>
      <c r="K144" s="11"/>
      <c r="L144" s="11"/>
      <c r="M144" s="12"/>
      <c r="N144" s="11"/>
      <c r="O144" s="13"/>
      <c r="P144" s="12"/>
      <c r="Q144" s="12"/>
      <c r="R144" s="12"/>
      <c r="S144" s="12"/>
    </row>
    <row r="145" ht="15" customHeight="1" s="4" customFormat="1">
      <c r="A145" s="9"/>
      <c r="B145" s="11"/>
      <c r="C145" s="11"/>
      <c r="D145" s="11"/>
      <c r="E145" s="11"/>
      <c r="F145" s="11"/>
      <c r="G145" s="14"/>
      <c r="H145" s="11"/>
      <c r="I145" s="11"/>
      <c r="J145" s="11"/>
      <c r="K145" s="11"/>
      <c r="L145" s="11"/>
      <c r="M145" s="12"/>
      <c r="N145" s="11"/>
      <c r="O145" s="13"/>
      <c r="P145" s="12"/>
      <c r="Q145" s="12"/>
      <c r="R145" s="12"/>
      <c r="S145" s="12"/>
    </row>
    <row r="146" ht="15" customHeight="1" s="4" customFormat="1">
      <c r="A146" s="9"/>
      <c r="B146" s="11"/>
      <c r="C146" s="11"/>
      <c r="D146" s="11"/>
      <c r="E146" s="11"/>
      <c r="F146" s="11"/>
      <c r="G146" s="14"/>
      <c r="H146" s="11"/>
      <c r="I146" s="11"/>
      <c r="J146" s="11"/>
      <c r="K146" s="11"/>
      <c r="L146" s="11"/>
      <c r="M146" s="12"/>
      <c r="N146" s="11"/>
      <c r="O146" s="13"/>
      <c r="P146" s="12"/>
      <c r="Q146" s="12"/>
      <c r="R146" s="12"/>
      <c r="S146" s="12"/>
    </row>
    <row r="147" ht="15" customHeight="1" s="4" customFormat="1">
      <c r="A147" s="9"/>
      <c r="B147" s="11"/>
      <c r="C147" s="11"/>
      <c r="D147" s="11"/>
      <c r="E147" s="11"/>
      <c r="F147" s="11"/>
      <c r="G147" s="14"/>
      <c r="H147" s="11"/>
      <c r="I147" s="11"/>
      <c r="J147" s="11"/>
      <c r="K147" s="11"/>
      <c r="L147" s="11"/>
      <c r="M147" s="12"/>
      <c r="N147" s="11"/>
      <c r="O147" s="13"/>
      <c r="P147" s="12"/>
      <c r="Q147" s="12"/>
      <c r="R147" s="12"/>
      <c r="S147" s="12"/>
    </row>
    <row r="148" ht="15" customHeight="1" s="4" customFormat="1">
      <c r="A148" s="9"/>
      <c r="B148" s="11"/>
      <c r="C148" s="11"/>
      <c r="D148" s="11"/>
      <c r="E148" s="11"/>
      <c r="F148" s="11"/>
      <c r="G148" s="14"/>
      <c r="H148" s="11"/>
      <c r="I148" s="11"/>
      <c r="J148" s="11"/>
      <c r="K148" s="11"/>
      <c r="L148" s="11"/>
      <c r="M148" s="12"/>
      <c r="N148" s="11"/>
      <c r="O148" s="13"/>
      <c r="P148" s="12"/>
      <c r="Q148" s="12"/>
      <c r="R148" s="12"/>
      <c r="S148" s="12"/>
    </row>
    <row r="149" ht="15" customHeight="1" s="4" customFormat="1">
      <c r="A149" s="9"/>
      <c r="B149" s="11"/>
      <c r="C149" s="11"/>
      <c r="D149" s="11"/>
      <c r="E149" s="11"/>
      <c r="F149" s="11"/>
      <c r="G149" s="14"/>
      <c r="H149" s="11"/>
      <c r="I149" s="11"/>
      <c r="J149" s="11"/>
      <c r="K149" s="11"/>
      <c r="L149" s="11"/>
      <c r="M149" s="12"/>
      <c r="N149" s="11"/>
      <c r="O149" s="13"/>
      <c r="P149" s="12"/>
      <c r="Q149" s="12"/>
      <c r="R149" s="12"/>
      <c r="S149" s="12"/>
    </row>
    <row r="150" ht="15" customHeight="1" s="4" customFormat="1">
      <c r="A150" s="9"/>
      <c r="B150" s="11"/>
      <c r="C150" s="11"/>
      <c r="D150" s="11"/>
      <c r="E150" s="11"/>
      <c r="F150" s="11"/>
      <c r="G150" s="14"/>
      <c r="H150" s="11"/>
      <c r="I150" s="11"/>
      <c r="J150" s="11"/>
      <c r="K150" s="11"/>
      <c r="L150" s="11"/>
      <c r="M150" s="12"/>
      <c r="N150" s="11"/>
      <c r="O150" s="13"/>
      <c r="P150" s="12"/>
      <c r="Q150" s="12"/>
      <c r="R150" s="12"/>
      <c r="S150" s="12"/>
    </row>
    <row r="151" ht="15" customHeight="1" s="4" customFormat="1">
      <c r="A151" s="9"/>
      <c r="B151" s="11"/>
      <c r="C151" s="11"/>
      <c r="D151" s="11"/>
      <c r="E151" s="11"/>
      <c r="F151" s="11"/>
      <c r="G151" s="14"/>
      <c r="H151" s="11"/>
      <c r="I151" s="11"/>
      <c r="J151" s="11"/>
      <c r="K151" s="11"/>
      <c r="L151" s="11"/>
      <c r="M151" s="12"/>
      <c r="N151" s="11"/>
      <c r="O151" s="13"/>
      <c r="P151" s="12"/>
      <c r="Q151" s="12"/>
      <c r="R151" s="12"/>
      <c r="S151" s="12"/>
    </row>
    <row r="152" ht="15" customHeight="1" s="4" customFormat="1">
      <c r="A152" s="9"/>
      <c r="B152" s="11"/>
      <c r="C152" s="11"/>
      <c r="D152" s="11"/>
      <c r="E152" s="11"/>
      <c r="F152" s="11"/>
      <c r="G152" s="14"/>
      <c r="H152" s="11"/>
      <c r="I152" s="11"/>
      <c r="J152" s="11"/>
      <c r="K152" s="11"/>
      <c r="L152" s="11"/>
      <c r="M152" s="12"/>
      <c r="N152" s="11"/>
      <c r="O152" s="13"/>
      <c r="P152" s="12"/>
      <c r="Q152" s="12"/>
      <c r="R152" s="12"/>
      <c r="S152" s="12"/>
    </row>
    <row r="153" ht="15" customHeight="1" s="4" customFormat="1">
      <c r="A153" s="9"/>
      <c r="B153" s="11"/>
      <c r="C153" s="11"/>
      <c r="D153" s="11"/>
      <c r="E153" s="11"/>
      <c r="F153" s="11"/>
      <c r="G153" s="14"/>
      <c r="H153" s="11"/>
      <c r="I153" s="11"/>
      <c r="J153" s="11"/>
      <c r="K153" s="11"/>
      <c r="L153" s="11"/>
      <c r="M153" s="12"/>
      <c r="N153" s="11"/>
      <c r="O153" s="13"/>
      <c r="P153" s="12"/>
      <c r="Q153" s="12"/>
      <c r="R153" s="12"/>
      <c r="S153" s="12"/>
    </row>
    <row r="154" ht="15" customHeight="1" s="4" customFormat="1">
      <c r="A154" s="9"/>
      <c r="B154" s="11"/>
      <c r="C154" s="11"/>
      <c r="D154" s="11"/>
      <c r="E154" s="11"/>
      <c r="F154" s="11"/>
      <c r="G154" s="14"/>
      <c r="H154" s="11"/>
      <c r="I154" s="11"/>
      <c r="J154" s="11"/>
      <c r="K154" s="11"/>
      <c r="L154" s="11"/>
      <c r="M154" s="12"/>
      <c r="N154" s="11"/>
      <c r="O154" s="13"/>
      <c r="P154" s="12"/>
      <c r="Q154" s="12"/>
      <c r="R154" s="12"/>
      <c r="S154" s="12"/>
    </row>
    <row r="155" ht="15" customHeight="1" s="4" customFormat="1">
      <c r="A155" s="9"/>
      <c r="B155" s="11"/>
      <c r="C155" s="11"/>
      <c r="D155" s="11"/>
      <c r="E155" s="11"/>
      <c r="F155" s="11"/>
      <c r="G155" s="14"/>
      <c r="H155" s="11"/>
      <c r="I155" s="11"/>
      <c r="J155" s="11"/>
      <c r="K155" s="11"/>
      <c r="L155" s="11"/>
      <c r="M155" s="12"/>
      <c r="N155" s="11"/>
      <c r="O155" s="13"/>
      <c r="P155" s="12"/>
      <c r="Q155" s="12"/>
      <c r="R155" s="12"/>
      <c r="S155" s="12"/>
    </row>
    <row r="156" ht="15" customHeight="1" s="4" customFormat="1">
      <c r="A156" s="9"/>
      <c r="B156" s="11"/>
      <c r="C156" s="11"/>
      <c r="D156" s="11"/>
      <c r="E156" s="11"/>
      <c r="F156" s="11"/>
      <c r="G156" s="14"/>
      <c r="H156" s="11"/>
      <c r="I156" s="11"/>
      <c r="J156" s="11"/>
      <c r="K156" s="11"/>
      <c r="L156" s="11"/>
      <c r="M156" s="12"/>
      <c r="N156" s="11"/>
      <c r="O156" s="13"/>
      <c r="P156" s="12"/>
      <c r="Q156" s="12"/>
      <c r="R156" s="12"/>
      <c r="S156" s="12"/>
    </row>
    <row r="157" ht="15" customHeight="1" s="4" customFormat="1">
      <c r="A157" s="9"/>
      <c r="B157" s="11"/>
      <c r="C157" s="11"/>
      <c r="D157" s="11"/>
      <c r="E157" s="11"/>
      <c r="F157" s="11"/>
      <c r="G157" s="14"/>
      <c r="H157" s="11"/>
      <c r="I157" s="11"/>
      <c r="J157" s="11"/>
      <c r="K157" s="11"/>
      <c r="L157" s="11"/>
      <c r="M157" s="12"/>
      <c r="N157" s="11"/>
      <c r="O157" s="13"/>
      <c r="P157" s="12"/>
      <c r="Q157" s="12"/>
      <c r="R157" s="12"/>
      <c r="S157" s="12"/>
    </row>
    <row r="158" ht="15" customHeight="1" s="4" customFormat="1">
      <c r="A158" s="9"/>
      <c r="B158" s="11"/>
      <c r="C158" s="11"/>
      <c r="D158" s="11"/>
      <c r="E158" s="11"/>
      <c r="F158" s="11"/>
      <c r="G158" s="14"/>
      <c r="H158" s="11"/>
      <c r="I158" s="11"/>
      <c r="J158" s="11"/>
      <c r="K158" s="11"/>
      <c r="L158" s="11"/>
      <c r="M158" s="12"/>
      <c r="N158" s="11"/>
      <c r="O158" s="13"/>
      <c r="P158" s="12"/>
      <c r="Q158" s="12"/>
      <c r="R158" s="12"/>
      <c r="S158" s="12"/>
    </row>
    <row r="159" ht="15" customHeight="1" s="4" customFormat="1">
      <c r="A159" s="9"/>
      <c r="B159" s="11"/>
      <c r="C159" s="11"/>
      <c r="D159" s="11"/>
      <c r="E159" s="11"/>
      <c r="F159" s="11"/>
      <c r="G159" s="14"/>
      <c r="H159" s="11"/>
      <c r="I159" s="11"/>
      <c r="J159" s="11"/>
      <c r="K159" s="11"/>
      <c r="L159" s="11"/>
      <c r="M159" s="12"/>
      <c r="N159" s="11"/>
      <c r="O159" s="13"/>
      <c r="P159" s="12"/>
      <c r="Q159" s="12"/>
      <c r="R159" s="12"/>
      <c r="S159" s="12"/>
    </row>
    <row r="160" ht="15" customHeight="1" s="4" customFormat="1">
      <c r="A160" s="9"/>
      <c r="B160" s="11"/>
      <c r="C160" s="11"/>
      <c r="D160" s="11"/>
      <c r="E160" s="11"/>
      <c r="F160" s="11"/>
      <c r="G160" s="14"/>
      <c r="H160" s="11"/>
      <c r="I160" s="11"/>
      <c r="J160" s="11"/>
      <c r="K160" s="11"/>
      <c r="L160" s="11"/>
      <c r="M160" s="12"/>
      <c r="N160" s="11"/>
      <c r="O160" s="13"/>
      <c r="P160" s="12"/>
      <c r="Q160" s="12"/>
      <c r="R160" s="12"/>
      <c r="S160" s="12"/>
    </row>
    <row r="161" ht="15" customHeight="1" s="4" customFormat="1">
      <c r="A161" s="9"/>
      <c r="B161" s="11"/>
      <c r="C161" s="11"/>
      <c r="D161" s="11"/>
      <c r="E161" s="11"/>
      <c r="F161" s="11"/>
      <c r="G161" s="14"/>
      <c r="H161" s="11"/>
      <c r="I161" s="11"/>
      <c r="J161" s="11"/>
      <c r="K161" s="11"/>
      <c r="L161" s="11"/>
      <c r="M161" s="12"/>
      <c r="N161" s="11"/>
      <c r="O161" s="13"/>
      <c r="P161" s="12"/>
      <c r="Q161" s="12"/>
      <c r="R161" s="12"/>
      <c r="S161" s="12"/>
    </row>
    <row r="162" ht="15" customHeight="1" s="4" customFormat="1">
      <c r="A162" s="9"/>
      <c r="B162" s="11"/>
      <c r="C162" s="11"/>
      <c r="D162" s="11"/>
      <c r="E162" s="11"/>
      <c r="F162" s="11"/>
      <c r="G162" s="14"/>
      <c r="H162" s="11"/>
      <c r="I162" s="11"/>
      <c r="J162" s="11"/>
      <c r="K162" s="11"/>
      <c r="L162" s="11"/>
      <c r="M162" s="12"/>
      <c r="N162" s="11"/>
      <c r="O162" s="13"/>
      <c r="P162" s="12"/>
      <c r="Q162" s="12"/>
      <c r="R162" s="12"/>
      <c r="S162" s="12"/>
    </row>
    <row r="163" ht="15" customHeight="1" s="4" customFormat="1">
      <c r="A163" s="9"/>
      <c r="B163" s="11"/>
      <c r="C163" s="11"/>
      <c r="D163" s="11"/>
      <c r="E163" s="11"/>
      <c r="F163" s="11"/>
      <c r="G163" s="14"/>
      <c r="H163" s="11"/>
      <c r="I163" s="11"/>
      <c r="J163" s="11"/>
      <c r="K163" s="11"/>
      <c r="L163" s="11"/>
      <c r="M163" s="12"/>
      <c r="N163" s="11"/>
      <c r="O163" s="13"/>
      <c r="P163" s="12"/>
      <c r="Q163" s="12"/>
      <c r="R163" s="12"/>
      <c r="S163" s="12"/>
    </row>
    <row r="164" ht="15" customHeight="1" s="4" customFormat="1">
      <c r="A164" s="9"/>
      <c r="B164" s="11"/>
      <c r="C164" s="11"/>
      <c r="D164" s="11"/>
      <c r="E164" s="11"/>
      <c r="F164" s="11"/>
      <c r="G164" s="14"/>
      <c r="H164" s="11"/>
      <c r="I164" s="11"/>
      <c r="J164" s="11"/>
      <c r="K164" s="11"/>
      <c r="L164" s="11"/>
      <c r="M164" s="12"/>
      <c r="N164" s="11"/>
      <c r="O164" s="13"/>
      <c r="P164" s="12"/>
      <c r="Q164" s="12"/>
      <c r="R164" s="12"/>
      <c r="S164" s="12"/>
    </row>
    <row r="165" ht="15" customHeight="1" s="4" customFormat="1">
      <c r="A165" s="9"/>
      <c r="B165" s="11"/>
      <c r="C165" s="11"/>
      <c r="D165" s="11"/>
      <c r="E165" s="11"/>
      <c r="F165" s="11"/>
      <c r="G165" s="14"/>
      <c r="H165" s="11"/>
      <c r="I165" s="11"/>
      <c r="J165" s="11"/>
      <c r="K165" s="11"/>
      <c r="L165" s="11"/>
      <c r="M165" s="12"/>
      <c r="N165" s="11"/>
      <c r="O165" s="13"/>
      <c r="P165" s="12"/>
      <c r="Q165" s="12"/>
      <c r="R165" s="12"/>
      <c r="S165" s="12"/>
    </row>
    <row r="166" ht="15" customHeight="1" s="4" customFormat="1">
      <c r="A166" s="9"/>
      <c r="B166" s="11"/>
      <c r="C166" s="11"/>
      <c r="D166" s="11"/>
      <c r="E166" s="11"/>
      <c r="F166" s="11"/>
      <c r="G166" s="14"/>
      <c r="H166" s="11"/>
      <c r="I166" s="11"/>
      <c r="J166" s="11"/>
      <c r="K166" s="11"/>
      <c r="L166" s="11"/>
      <c r="M166" s="12"/>
      <c r="N166" s="11"/>
      <c r="O166" s="13"/>
      <c r="P166" s="12"/>
      <c r="Q166" s="12"/>
      <c r="R166" s="12"/>
      <c r="S166" s="12"/>
    </row>
    <row r="167" ht="15" customHeight="1" s="4" customFormat="1">
      <c r="A167" s="9"/>
      <c r="B167" s="11"/>
      <c r="C167" s="11"/>
      <c r="D167" s="11"/>
      <c r="E167" s="11"/>
      <c r="F167" s="11"/>
      <c r="G167" s="14"/>
      <c r="H167" s="11"/>
      <c r="I167" s="11"/>
      <c r="J167" s="11"/>
      <c r="K167" s="11"/>
      <c r="L167" s="11"/>
      <c r="M167" s="12"/>
      <c r="N167" s="11"/>
      <c r="O167" s="13"/>
      <c r="P167" s="12"/>
      <c r="Q167" s="12"/>
      <c r="R167" s="12"/>
      <c r="S167" s="12"/>
    </row>
    <row r="168" ht="15" customHeight="1" s="4" customFormat="1">
      <c r="A168" s="9"/>
      <c r="B168" s="11"/>
      <c r="C168" s="11"/>
      <c r="D168" s="11"/>
      <c r="E168" s="11"/>
      <c r="F168" s="11"/>
      <c r="G168" s="14"/>
      <c r="H168" s="11"/>
      <c r="I168" s="11"/>
      <c r="J168" s="11"/>
      <c r="K168" s="11"/>
      <c r="L168" s="11"/>
      <c r="M168" s="12"/>
      <c r="N168" s="11"/>
      <c r="O168" s="13"/>
      <c r="P168" s="12"/>
      <c r="Q168" s="12"/>
      <c r="R168" s="12"/>
      <c r="S168" s="12"/>
    </row>
    <row r="169" ht="15" customHeight="1" s="4" customFormat="1">
      <c r="A169" s="9"/>
      <c r="B169" s="11"/>
      <c r="C169" s="11"/>
      <c r="D169" s="11"/>
      <c r="E169" s="11"/>
      <c r="F169" s="11"/>
      <c r="G169" s="14"/>
      <c r="H169" s="11"/>
      <c r="I169" s="11"/>
      <c r="J169" s="11"/>
      <c r="K169" s="11"/>
      <c r="L169" s="11"/>
      <c r="M169" s="12"/>
      <c r="N169" s="11"/>
      <c r="O169" s="13"/>
      <c r="P169" s="12"/>
      <c r="Q169" s="12"/>
      <c r="R169" s="12"/>
      <c r="S169" s="12"/>
    </row>
    <row r="170" ht="15" customHeight="1" s="4" customFormat="1">
      <c r="A170" s="9"/>
      <c r="B170" s="11"/>
      <c r="C170" s="11"/>
      <c r="D170" s="11"/>
      <c r="E170" s="11"/>
      <c r="F170" s="11"/>
      <c r="G170" s="14"/>
      <c r="H170" s="11"/>
      <c r="I170" s="11"/>
      <c r="J170" s="11"/>
      <c r="K170" s="11"/>
      <c r="L170" s="11"/>
      <c r="M170" s="12"/>
      <c r="N170" s="11"/>
      <c r="O170" s="13"/>
      <c r="P170" s="12"/>
      <c r="Q170" s="12"/>
      <c r="R170" s="12"/>
      <c r="S170" s="12"/>
    </row>
    <row r="171" ht="15" customHeight="1" s="4" customFormat="1">
      <c r="A171" s="9"/>
      <c r="B171" s="11"/>
      <c r="C171" s="11"/>
      <c r="D171" s="11"/>
      <c r="E171" s="11"/>
      <c r="F171" s="11"/>
      <c r="G171" s="14"/>
      <c r="H171" s="11"/>
      <c r="I171" s="11"/>
      <c r="J171" s="11"/>
      <c r="K171" s="11"/>
      <c r="L171" s="11"/>
      <c r="M171" s="12"/>
      <c r="N171" s="11"/>
      <c r="O171" s="13"/>
      <c r="P171" s="12"/>
      <c r="Q171" s="12"/>
      <c r="R171" s="12"/>
      <c r="S171" s="12"/>
    </row>
    <row r="172" ht="15" customHeight="1" s="4" customFormat="1">
      <c r="A172" s="9"/>
      <c r="B172" s="11"/>
      <c r="C172" s="11"/>
      <c r="D172" s="11"/>
      <c r="E172" s="11"/>
      <c r="F172" s="11"/>
      <c r="G172" s="14"/>
      <c r="H172" s="11"/>
      <c r="I172" s="11"/>
      <c r="J172" s="11"/>
      <c r="K172" s="11"/>
      <c r="L172" s="11"/>
      <c r="M172" s="12"/>
      <c r="N172" s="11"/>
      <c r="O172" s="13"/>
      <c r="P172" s="12"/>
      <c r="Q172" s="12"/>
      <c r="R172" s="12"/>
      <c r="S172" s="12"/>
    </row>
    <row r="173" ht="15" customHeight="1" s="4" customFormat="1">
      <c r="A173" s="9"/>
      <c r="B173" s="11"/>
      <c r="C173" s="11"/>
      <c r="D173" s="11"/>
      <c r="E173" s="11"/>
      <c r="F173" s="11"/>
      <c r="G173" s="14"/>
      <c r="H173" s="11"/>
      <c r="I173" s="11"/>
      <c r="J173" s="11"/>
      <c r="K173" s="11"/>
      <c r="L173" s="11"/>
      <c r="M173" s="12"/>
      <c r="N173" s="11"/>
      <c r="O173" s="13"/>
      <c r="P173" s="12"/>
      <c r="Q173" s="12"/>
      <c r="R173" s="12"/>
      <c r="S173" s="12"/>
    </row>
    <row r="174" ht="15" customHeight="1" s="4" customFormat="1">
      <c r="A174" s="9"/>
      <c r="B174" s="11"/>
      <c r="C174" s="11"/>
      <c r="D174" s="11"/>
      <c r="E174" s="11"/>
      <c r="F174" s="11"/>
      <c r="G174" s="14"/>
      <c r="H174" s="11"/>
      <c r="I174" s="11"/>
      <c r="J174" s="11"/>
      <c r="K174" s="11"/>
      <c r="L174" s="11"/>
      <c r="M174" s="12"/>
      <c r="N174" s="11"/>
      <c r="O174" s="13"/>
      <c r="P174" s="12"/>
      <c r="Q174" s="12"/>
      <c r="R174" s="12"/>
      <c r="S174" s="12"/>
    </row>
    <row r="175" ht="15" customHeight="1" s="4" customFormat="1">
      <c r="A175" s="9"/>
      <c r="B175" s="11"/>
      <c r="C175" s="11"/>
      <c r="D175" s="11"/>
      <c r="E175" s="11"/>
      <c r="F175" s="11"/>
      <c r="G175" s="14"/>
      <c r="H175" s="11"/>
      <c r="I175" s="11"/>
      <c r="J175" s="11"/>
      <c r="K175" s="11"/>
      <c r="L175" s="11"/>
      <c r="M175" s="12"/>
      <c r="N175" s="11"/>
      <c r="O175" s="13"/>
      <c r="P175" s="12"/>
      <c r="Q175" s="12"/>
      <c r="R175" s="12"/>
      <c r="S175" s="12"/>
    </row>
    <row r="176" ht="15" customHeight="1" s="4" customFormat="1">
      <c r="A176" s="9"/>
      <c r="B176" s="11"/>
      <c r="C176" s="11"/>
      <c r="D176" s="11"/>
      <c r="E176" s="11"/>
      <c r="F176" s="11"/>
      <c r="G176" s="14"/>
      <c r="H176" s="11"/>
      <c r="I176" s="11"/>
      <c r="J176" s="11"/>
      <c r="K176" s="11"/>
      <c r="L176" s="11"/>
      <c r="M176" s="12"/>
      <c r="N176" s="11"/>
      <c r="O176" s="13"/>
      <c r="P176" s="12"/>
      <c r="Q176" s="12"/>
      <c r="R176" s="12"/>
      <c r="S176" s="12"/>
    </row>
    <row r="177" ht="15" customHeight="1" s="4" customFormat="1">
      <c r="A177" s="9"/>
      <c r="B177" s="11"/>
      <c r="C177" s="11"/>
      <c r="D177" s="11"/>
      <c r="E177" s="11"/>
      <c r="F177" s="11"/>
      <c r="G177" s="14"/>
      <c r="H177" s="11"/>
      <c r="I177" s="11"/>
      <c r="J177" s="11"/>
      <c r="K177" s="11"/>
      <c r="L177" s="11"/>
      <c r="M177" s="12"/>
      <c r="N177" s="11"/>
      <c r="O177" s="13"/>
      <c r="P177" s="12"/>
      <c r="Q177" s="12"/>
      <c r="R177" s="12"/>
      <c r="S177" s="12"/>
    </row>
    <row r="178" ht="15" customHeight="1" s="4" customFormat="1">
      <c r="A178" s="9"/>
      <c r="B178" s="11"/>
      <c r="C178" s="11"/>
      <c r="D178" s="11"/>
      <c r="E178" s="11"/>
      <c r="F178" s="11"/>
      <c r="G178" s="14"/>
      <c r="H178" s="11"/>
      <c r="I178" s="11"/>
      <c r="J178" s="11"/>
      <c r="K178" s="11"/>
      <c r="L178" s="11"/>
      <c r="M178" s="12"/>
      <c r="N178" s="11"/>
      <c r="O178" s="13"/>
      <c r="P178" s="12"/>
      <c r="Q178" s="12"/>
      <c r="R178" s="12"/>
      <c r="S178" s="12"/>
    </row>
    <row r="179" ht="15" customHeight="1" s="4" customFormat="1">
      <c r="A179" s="9"/>
      <c r="B179" s="11"/>
      <c r="C179" s="11"/>
      <c r="D179" s="11"/>
      <c r="E179" s="11"/>
      <c r="F179" s="11"/>
      <c r="G179" s="14"/>
      <c r="H179" s="11"/>
      <c r="I179" s="11"/>
      <c r="J179" s="11"/>
      <c r="K179" s="11"/>
      <c r="L179" s="11"/>
      <c r="M179" s="12"/>
      <c r="N179" s="11"/>
      <c r="O179" s="13"/>
      <c r="P179" s="12"/>
      <c r="Q179" s="12"/>
      <c r="R179" s="12"/>
      <c r="S179" s="12"/>
    </row>
    <row r="180" ht="15" customHeight="1" s="4" customFormat="1">
      <c r="A180" s="9"/>
      <c r="B180" s="11"/>
      <c r="C180" s="11"/>
      <c r="D180" s="11"/>
      <c r="E180" s="11"/>
      <c r="F180" s="11"/>
      <c r="G180" s="14"/>
      <c r="H180" s="11"/>
      <c r="I180" s="11"/>
      <c r="J180" s="11"/>
      <c r="K180" s="11"/>
      <c r="L180" s="11"/>
      <c r="M180" s="12"/>
      <c r="N180" s="11"/>
      <c r="O180" s="13"/>
      <c r="P180" s="12"/>
      <c r="Q180" s="12"/>
      <c r="R180" s="12"/>
      <c r="S180" s="12"/>
    </row>
    <row r="181" ht="15" customHeight="1" s="4" customFormat="1">
      <c r="A181" s="9"/>
      <c r="B181" s="11"/>
      <c r="C181" s="11"/>
      <c r="D181" s="11"/>
      <c r="E181" s="11"/>
      <c r="F181" s="11"/>
      <c r="G181" s="14"/>
      <c r="H181" s="11"/>
      <c r="I181" s="11"/>
      <c r="J181" s="11"/>
      <c r="K181" s="11"/>
      <c r="L181" s="11"/>
      <c r="M181" s="12"/>
      <c r="N181" s="11"/>
      <c r="O181" s="13"/>
      <c r="P181" s="12"/>
      <c r="Q181" s="12"/>
      <c r="R181" s="12"/>
      <c r="S181" s="12"/>
    </row>
    <row r="182" ht="15" customHeight="1" s="4" customFormat="1">
      <c r="A182" s="9"/>
      <c r="B182" s="11"/>
      <c r="C182" s="11"/>
      <c r="D182" s="11"/>
      <c r="E182" s="11"/>
      <c r="F182" s="11"/>
      <c r="G182" s="14"/>
      <c r="H182" s="11"/>
      <c r="I182" s="11"/>
      <c r="J182" s="11"/>
      <c r="K182" s="11"/>
      <c r="L182" s="11"/>
      <c r="M182" s="12"/>
      <c r="N182" s="11"/>
      <c r="O182" s="13"/>
      <c r="P182" s="12"/>
      <c r="Q182" s="12"/>
      <c r="R182" s="12"/>
      <c r="S182" s="12"/>
    </row>
    <row r="183" ht="15" customHeight="1" s="4" customFormat="1">
      <c r="A183" s="9"/>
      <c r="B183" s="11"/>
      <c r="C183" s="11"/>
      <c r="D183" s="11"/>
      <c r="E183" s="11"/>
      <c r="F183" s="11"/>
      <c r="G183" s="14"/>
      <c r="H183" s="11"/>
      <c r="I183" s="11"/>
      <c r="J183" s="11"/>
      <c r="K183" s="11"/>
      <c r="L183" s="11"/>
      <c r="M183" s="12"/>
      <c r="N183" s="11"/>
      <c r="O183" s="13"/>
      <c r="P183" s="12"/>
      <c r="Q183" s="12"/>
      <c r="R183" s="12"/>
      <c r="S183" s="12"/>
    </row>
    <row r="184" ht="15" customHeight="1" s="4" customFormat="1">
      <c r="A184" s="9"/>
      <c r="B184" s="11"/>
      <c r="C184" s="11"/>
      <c r="D184" s="11"/>
      <c r="E184" s="11"/>
      <c r="F184" s="11"/>
      <c r="G184" s="14"/>
      <c r="H184" s="11"/>
      <c r="I184" s="11"/>
      <c r="J184" s="11"/>
      <c r="K184" s="11"/>
      <c r="L184" s="11"/>
      <c r="M184" s="12"/>
      <c r="N184" s="11"/>
      <c r="O184" s="13"/>
      <c r="P184" s="12"/>
      <c r="Q184" s="12"/>
      <c r="R184" s="12"/>
      <c r="S184" s="12"/>
    </row>
    <row r="185" ht="15" customHeight="1" s="4" customFormat="1">
      <c r="A185" s="9"/>
      <c r="B185" s="11"/>
      <c r="C185" s="11"/>
      <c r="D185" s="11"/>
      <c r="E185" s="11"/>
      <c r="F185" s="11"/>
      <c r="G185" s="14"/>
      <c r="H185" s="11"/>
      <c r="I185" s="11"/>
      <c r="J185" s="11"/>
      <c r="K185" s="11"/>
      <c r="L185" s="11"/>
      <c r="M185" s="12"/>
      <c r="N185" s="11"/>
      <c r="O185" s="13"/>
      <c r="P185" s="12"/>
      <c r="Q185" s="12"/>
      <c r="R185" s="12"/>
      <c r="S185" s="12"/>
    </row>
    <row r="186" ht="15" customHeight="1" s="4" customFormat="1">
      <c r="A186" s="9"/>
      <c r="B186" s="11"/>
      <c r="C186" s="11"/>
      <c r="D186" s="11"/>
      <c r="E186" s="11"/>
      <c r="F186" s="11"/>
      <c r="G186" s="14"/>
      <c r="H186" s="11"/>
      <c r="I186" s="11"/>
      <c r="J186" s="11"/>
      <c r="K186" s="11"/>
      <c r="L186" s="11"/>
      <c r="M186" s="12"/>
      <c r="N186" s="11"/>
      <c r="O186" s="13"/>
      <c r="P186" s="12"/>
      <c r="Q186" s="12"/>
      <c r="R186" s="12"/>
      <c r="S186" s="12"/>
    </row>
    <row r="187" ht="15" customHeight="1" s="4" customFormat="1">
      <c r="A187" s="9"/>
      <c r="B187" s="11"/>
      <c r="C187" s="11"/>
      <c r="D187" s="11"/>
      <c r="E187" s="11"/>
      <c r="F187" s="11"/>
      <c r="G187" s="14"/>
      <c r="H187" s="11"/>
      <c r="I187" s="11"/>
      <c r="J187" s="11"/>
      <c r="K187" s="11"/>
      <c r="L187" s="11"/>
      <c r="M187" s="12"/>
      <c r="N187" s="11"/>
      <c r="O187" s="13"/>
      <c r="P187" s="12"/>
      <c r="Q187" s="12"/>
      <c r="R187" s="12"/>
      <c r="S187" s="12"/>
    </row>
    <row r="188" ht="15" customHeight="1" s="4" customFormat="1">
      <c r="A188" s="9"/>
      <c r="B188" s="11"/>
      <c r="C188" s="11"/>
      <c r="D188" s="11"/>
      <c r="E188" s="11"/>
      <c r="F188" s="11"/>
      <c r="G188" s="14"/>
      <c r="H188" s="11"/>
      <c r="I188" s="11"/>
      <c r="J188" s="11"/>
      <c r="K188" s="11"/>
      <c r="L188" s="11"/>
      <c r="M188" s="12"/>
      <c r="N188" s="11"/>
      <c r="O188" s="13"/>
      <c r="P188" s="12"/>
      <c r="Q188" s="12"/>
      <c r="R188" s="12"/>
      <c r="S188" s="12"/>
    </row>
    <row r="189" ht="15" customHeight="1" s="4" customFormat="1">
      <c r="A189" s="9"/>
      <c r="B189" s="11"/>
      <c r="C189" s="11"/>
      <c r="D189" s="11"/>
      <c r="E189" s="11"/>
      <c r="F189" s="11"/>
      <c r="G189" s="14"/>
      <c r="H189" s="11"/>
      <c r="I189" s="11"/>
      <c r="J189" s="11"/>
      <c r="K189" s="11"/>
      <c r="L189" s="11"/>
      <c r="M189" s="12"/>
      <c r="N189" s="11"/>
      <c r="O189" s="13"/>
      <c r="P189" s="12"/>
      <c r="Q189" s="12"/>
      <c r="R189" s="12"/>
      <c r="S189" s="12"/>
    </row>
    <row r="190" ht="15" customHeight="1" s="4" customFormat="1">
      <c r="A190" s="9"/>
      <c r="B190" s="11"/>
      <c r="C190" s="11"/>
      <c r="D190" s="11"/>
      <c r="E190" s="11"/>
      <c r="F190" s="11"/>
      <c r="G190" s="14"/>
      <c r="H190" s="11"/>
      <c r="I190" s="11"/>
      <c r="J190" s="11"/>
      <c r="K190" s="11"/>
      <c r="L190" s="11"/>
      <c r="M190" s="12"/>
      <c r="N190" s="11"/>
      <c r="O190" s="13"/>
      <c r="P190" s="12"/>
      <c r="Q190" s="12"/>
      <c r="R190" s="12"/>
      <c r="S190" s="12"/>
    </row>
    <row r="191" ht="15" customHeight="1" s="4" customFormat="1">
      <c r="A191" s="9"/>
      <c r="B191" s="11"/>
      <c r="C191" s="11"/>
      <c r="D191" s="11"/>
      <c r="E191" s="11"/>
      <c r="F191" s="11"/>
      <c r="G191" s="14"/>
      <c r="H191" s="11"/>
      <c r="I191" s="11"/>
      <c r="J191" s="11"/>
      <c r="K191" s="11"/>
      <c r="L191" s="11"/>
      <c r="M191" s="12"/>
      <c r="N191" s="11"/>
      <c r="O191" s="13"/>
      <c r="P191" s="12"/>
      <c r="Q191" s="12"/>
      <c r="R191" s="12"/>
      <c r="S191" s="12"/>
    </row>
    <row r="192" ht="15" customHeight="1" s="4" customFormat="1">
      <c r="A192" s="9"/>
      <c r="B192" s="11"/>
      <c r="C192" s="11"/>
      <c r="D192" s="11"/>
      <c r="E192" s="11"/>
      <c r="F192" s="11"/>
      <c r="G192" s="14"/>
      <c r="H192" s="11"/>
      <c r="I192" s="11"/>
      <c r="J192" s="11"/>
      <c r="K192" s="11"/>
      <c r="L192" s="11"/>
      <c r="M192" s="12"/>
      <c r="N192" s="11"/>
      <c r="O192" s="13"/>
      <c r="P192" s="12"/>
      <c r="Q192" s="12"/>
      <c r="R192" s="12"/>
      <c r="S192" s="12"/>
    </row>
    <row r="193" ht="15" customHeight="1" s="4" customFormat="1">
      <c r="A193" s="9"/>
      <c r="B193" s="11"/>
      <c r="C193" s="11"/>
      <c r="D193" s="11"/>
      <c r="E193" s="11"/>
      <c r="F193" s="11"/>
      <c r="G193" s="14"/>
      <c r="H193" s="11"/>
      <c r="I193" s="11"/>
      <c r="J193" s="11"/>
      <c r="K193" s="11"/>
      <c r="L193" s="11"/>
      <c r="M193" s="12"/>
      <c r="N193" s="11"/>
      <c r="O193" s="13"/>
      <c r="P193" s="12"/>
      <c r="Q193" s="12"/>
      <c r="R193" s="12"/>
      <c r="S193" s="12"/>
    </row>
    <row r="194" ht="15" customHeight="1" s="4" customFormat="1">
      <c r="A194" s="9"/>
      <c r="B194" s="11"/>
      <c r="C194" s="11"/>
      <c r="D194" s="11"/>
      <c r="E194" s="11"/>
      <c r="F194" s="11"/>
      <c r="G194" s="14"/>
      <c r="H194" s="11"/>
      <c r="I194" s="11"/>
      <c r="J194" s="11"/>
      <c r="K194" s="11"/>
      <c r="L194" s="11"/>
      <c r="M194" s="12"/>
      <c r="N194" s="11"/>
      <c r="O194" s="13"/>
      <c r="P194" s="12"/>
      <c r="Q194" s="12"/>
      <c r="R194" s="12"/>
      <c r="S194" s="12"/>
    </row>
    <row r="195" ht="15" customHeight="1" s="4" customFormat="1">
      <c r="A195" s="9"/>
      <c r="B195" s="11"/>
      <c r="C195" s="11"/>
      <c r="D195" s="11"/>
      <c r="E195" s="11"/>
      <c r="F195" s="11"/>
      <c r="G195" s="14"/>
      <c r="H195" s="11"/>
      <c r="I195" s="11"/>
      <c r="J195" s="11"/>
      <c r="K195" s="11"/>
      <c r="L195" s="11"/>
      <c r="M195" s="12"/>
      <c r="N195" s="11"/>
      <c r="O195" s="13"/>
      <c r="P195" s="12"/>
      <c r="Q195" s="12"/>
      <c r="R195" s="12"/>
      <c r="S195" s="12"/>
    </row>
    <row r="196" ht="15" customHeight="1" s="4" customFormat="1">
      <c r="A196" s="9"/>
      <c r="B196" s="11"/>
      <c r="C196" s="11"/>
      <c r="D196" s="11"/>
      <c r="E196" s="11"/>
      <c r="F196" s="11"/>
      <c r="G196" s="14"/>
      <c r="H196" s="11"/>
      <c r="I196" s="11"/>
      <c r="J196" s="11"/>
      <c r="K196" s="11"/>
      <c r="L196" s="11"/>
      <c r="M196" s="12"/>
      <c r="N196" s="11"/>
      <c r="O196" s="13"/>
      <c r="P196" s="12"/>
      <c r="Q196" s="12"/>
      <c r="R196" s="12"/>
      <c r="S196" s="12"/>
    </row>
    <row r="197" ht="15" customHeight="1" s="4" customFormat="1">
      <c r="A197" s="9"/>
      <c r="B197" s="11"/>
      <c r="C197" s="11"/>
      <c r="D197" s="11"/>
      <c r="E197" s="11"/>
      <c r="F197" s="11"/>
      <c r="G197" s="14"/>
      <c r="H197" s="11"/>
      <c r="I197" s="11"/>
      <c r="J197" s="11"/>
      <c r="K197" s="11"/>
      <c r="L197" s="11"/>
      <c r="M197" s="12"/>
      <c r="N197" s="11"/>
      <c r="O197" s="13"/>
      <c r="P197" s="12"/>
      <c r="Q197" s="12"/>
      <c r="R197" s="12"/>
      <c r="S197" s="12"/>
    </row>
    <row r="198" ht="15" customHeight="1" s="4" customFormat="1">
      <c r="A198" s="9"/>
      <c r="B198" s="11"/>
      <c r="C198" s="11"/>
      <c r="D198" s="11"/>
      <c r="E198" s="11"/>
      <c r="F198" s="11"/>
      <c r="G198" s="14"/>
      <c r="H198" s="11"/>
      <c r="I198" s="11"/>
      <c r="J198" s="11"/>
      <c r="K198" s="11"/>
      <c r="L198" s="11"/>
      <c r="M198" s="12"/>
      <c r="N198" s="11"/>
      <c r="O198" s="13"/>
      <c r="P198" s="12"/>
      <c r="Q198" s="12"/>
      <c r="R198" s="12"/>
      <c r="S198" s="12"/>
    </row>
    <row r="199" ht="15" customHeight="1" s="4" customFormat="1">
      <c r="A199" s="9"/>
      <c r="B199" s="11"/>
      <c r="C199" s="11"/>
      <c r="D199" s="11"/>
      <c r="E199" s="11"/>
      <c r="F199" s="11"/>
      <c r="G199" s="14"/>
      <c r="H199" s="11"/>
      <c r="I199" s="11"/>
      <c r="J199" s="11"/>
      <c r="K199" s="11"/>
      <c r="L199" s="11"/>
      <c r="M199" s="12"/>
      <c r="N199" s="11"/>
      <c r="O199" s="13"/>
      <c r="P199" s="12"/>
      <c r="Q199" s="12"/>
      <c r="R199" s="12"/>
      <c r="S199" s="12"/>
    </row>
    <row r="200" ht="15" customHeight="1" s="4" customFormat="1">
      <c r="A200" s="9"/>
      <c r="B200" s="11"/>
      <c r="C200" s="11"/>
      <c r="D200" s="11"/>
      <c r="E200" s="11"/>
      <c r="F200" s="11"/>
      <c r="G200" s="14"/>
      <c r="H200" s="11"/>
      <c r="I200" s="11"/>
      <c r="J200" s="11"/>
      <c r="K200" s="11"/>
      <c r="L200" s="11"/>
      <c r="M200" s="12"/>
      <c r="N200" s="11"/>
      <c r="O200" s="13"/>
      <c r="P200" s="12"/>
      <c r="Q200" s="12"/>
      <c r="R200" s="12"/>
      <c r="S200" s="12"/>
    </row>
    <row r="201" ht="15" customHeight="1" s="4" customFormat="1">
      <c r="A201" s="9"/>
      <c r="B201" s="11"/>
      <c r="C201" s="11"/>
      <c r="D201" s="11"/>
      <c r="E201" s="11"/>
      <c r="F201" s="11"/>
      <c r="G201" s="14"/>
      <c r="H201" s="11"/>
      <c r="I201" s="11"/>
      <c r="J201" s="11"/>
      <c r="K201" s="11"/>
      <c r="L201" s="11"/>
      <c r="M201" s="12"/>
      <c r="N201" s="11"/>
      <c r="O201" s="13"/>
      <c r="P201" s="12"/>
      <c r="Q201" s="12"/>
      <c r="R201" s="12"/>
      <c r="S201" s="12"/>
    </row>
    <row r="202" ht="15" customHeight="1" s="4" customFormat="1">
      <c r="A202" s="9"/>
      <c r="B202" s="11"/>
      <c r="C202" s="11"/>
      <c r="D202" s="11"/>
      <c r="E202" s="11"/>
      <c r="F202" s="11"/>
      <c r="G202" s="14"/>
      <c r="H202" s="11"/>
      <c r="I202" s="11"/>
      <c r="J202" s="11"/>
      <c r="K202" s="11"/>
      <c r="L202" s="11"/>
      <c r="M202" s="12"/>
      <c r="N202" s="11"/>
      <c r="O202" s="13"/>
      <c r="P202" s="12"/>
      <c r="Q202" s="12"/>
      <c r="R202" s="12"/>
      <c r="S202" s="12"/>
    </row>
    <row r="203" ht="15" customHeight="1" s="4" customFormat="1">
      <c r="A203" s="9"/>
      <c r="B203" s="11"/>
      <c r="C203" s="11"/>
      <c r="D203" s="11"/>
      <c r="E203" s="11"/>
      <c r="F203" s="11"/>
      <c r="G203" s="14"/>
      <c r="H203" s="11"/>
      <c r="I203" s="11"/>
      <c r="J203" s="11"/>
      <c r="K203" s="11"/>
      <c r="L203" s="11"/>
      <c r="M203" s="12"/>
      <c r="N203" s="11"/>
      <c r="O203" s="13"/>
      <c r="P203" s="12"/>
      <c r="Q203" s="12"/>
      <c r="R203" s="12"/>
      <c r="S203" s="12"/>
    </row>
    <row r="204" ht="15" customHeight="1" s="4" customFormat="1">
      <c r="A204" s="9"/>
      <c r="B204" s="11"/>
      <c r="C204" s="11"/>
      <c r="D204" s="11"/>
      <c r="E204" s="11"/>
      <c r="F204" s="11"/>
      <c r="G204" s="14"/>
      <c r="H204" s="11"/>
      <c r="I204" s="11"/>
      <c r="J204" s="11"/>
      <c r="K204" s="11"/>
      <c r="L204" s="11"/>
      <c r="M204" s="12"/>
      <c r="N204" s="11"/>
      <c r="O204" s="13"/>
      <c r="P204" s="12"/>
      <c r="Q204" s="12"/>
      <c r="R204" s="12"/>
      <c r="S204" s="12"/>
    </row>
    <row r="205" ht="15" customHeight="1" s="4" customFormat="1">
      <c r="A205" s="9"/>
      <c r="B205" s="11"/>
      <c r="C205" s="11"/>
      <c r="D205" s="11"/>
      <c r="E205" s="11"/>
      <c r="F205" s="11"/>
      <c r="G205" s="14"/>
      <c r="H205" s="11"/>
      <c r="I205" s="11"/>
      <c r="J205" s="11"/>
      <c r="K205" s="11"/>
      <c r="L205" s="11"/>
      <c r="M205" s="12"/>
      <c r="N205" s="11"/>
      <c r="O205" s="13"/>
      <c r="P205" s="12"/>
      <c r="Q205" s="12"/>
      <c r="R205" s="12"/>
      <c r="S205" s="12"/>
    </row>
    <row r="206" ht="15" customHeight="1" s="4" customFormat="1">
      <c r="A206" s="9"/>
      <c r="B206" s="11"/>
      <c r="C206" s="11"/>
      <c r="D206" s="11"/>
      <c r="E206" s="11"/>
      <c r="F206" s="11"/>
      <c r="G206" s="14"/>
      <c r="H206" s="11"/>
      <c r="I206" s="11"/>
      <c r="J206" s="11"/>
      <c r="K206" s="11"/>
      <c r="L206" s="11"/>
      <c r="M206" s="12"/>
      <c r="N206" s="11"/>
      <c r="O206" s="13"/>
      <c r="P206" s="12"/>
      <c r="Q206" s="12"/>
      <c r="R206" s="12"/>
      <c r="S206" s="12"/>
    </row>
    <row r="207" ht="15" customHeight="1" s="4" customFormat="1">
      <c r="A207" s="9"/>
      <c r="B207" s="11"/>
      <c r="C207" s="11"/>
      <c r="D207" s="11"/>
      <c r="E207" s="11"/>
      <c r="F207" s="11"/>
      <c r="G207" s="14"/>
      <c r="H207" s="11"/>
      <c r="I207" s="11"/>
      <c r="J207" s="11"/>
      <c r="K207" s="11"/>
      <c r="L207" s="11"/>
      <c r="M207" s="12"/>
      <c r="N207" s="11"/>
      <c r="O207" s="13"/>
      <c r="P207" s="12"/>
      <c r="Q207" s="12"/>
      <c r="R207" s="12"/>
      <c r="S207" s="12"/>
    </row>
    <row r="208" ht="15" customHeight="1" s="4" customFormat="1">
      <c r="A208" s="9"/>
      <c r="B208" s="11"/>
      <c r="C208" s="11"/>
      <c r="D208" s="11"/>
      <c r="E208" s="11"/>
      <c r="F208" s="11"/>
      <c r="G208" s="14"/>
      <c r="H208" s="11"/>
      <c r="I208" s="11"/>
      <c r="J208" s="11"/>
      <c r="K208" s="11"/>
      <c r="L208" s="11"/>
      <c r="M208" s="12"/>
      <c r="N208" s="11"/>
      <c r="O208" s="13"/>
      <c r="P208" s="12"/>
      <c r="Q208" s="12"/>
      <c r="R208" s="12"/>
      <c r="S208" s="12"/>
    </row>
    <row r="209" ht="15" customHeight="1" s="4" customFormat="1">
      <c r="A209" s="9"/>
      <c r="B209" s="11"/>
      <c r="C209" s="11"/>
      <c r="D209" s="11"/>
      <c r="E209" s="11"/>
      <c r="F209" s="11"/>
      <c r="G209" s="14"/>
      <c r="H209" s="11"/>
      <c r="I209" s="11"/>
      <c r="J209" s="11"/>
      <c r="K209" s="11"/>
      <c r="L209" s="11"/>
      <c r="M209" s="12"/>
      <c r="N209" s="11"/>
      <c r="O209" s="13"/>
      <c r="P209" s="12"/>
      <c r="Q209" s="12"/>
      <c r="R209" s="12"/>
      <c r="S209" s="12"/>
    </row>
    <row r="210" ht="15" customHeight="1" s="4" customFormat="1">
      <c r="A210" s="9"/>
      <c r="B210" s="11"/>
      <c r="C210" s="11"/>
      <c r="D210" s="11"/>
      <c r="E210" s="11"/>
      <c r="F210" s="11"/>
      <c r="G210" s="14"/>
      <c r="H210" s="11"/>
      <c r="I210" s="11"/>
      <c r="J210" s="11"/>
      <c r="K210" s="11"/>
      <c r="L210" s="11"/>
      <c r="M210" s="12"/>
      <c r="N210" s="11"/>
      <c r="O210" s="13"/>
      <c r="P210" s="12"/>
      <c r="Q210" s="12"/>
      <c r="R210" s="12"/>
      <c r="S210" s="12"/>
    </row>
    <row r="211" ht="15" customHeight="1" s="4" customFormat="1">
      <c r="A211" s="9"/>
      <c r="B211" s="11"/>
      <c r="C211" s="11"/>
      <c r="D211" s="11"/>
      <c r="E211" s="11"/>
      <c r="F211" s="11"/>
      <c r="G211" s="14"/>
      <c r="H211" s="11"/>
      <c r="I211" s="11"/>
      <c r="J211" s="11"/>
      <c r="K211" s="11"/>
      <c r="L211" s="11"/>
      <c r="M211" s="12"/>
      <c r="N211" s="11"/>
      <c r="O211" s="13"/>
      <c r="P211" s="12"/>
      <c r="Q211" s="12"/>
      <c r="R211" s="12"/>
      <c r="S211" s="12"/>
    </row>
    <row r="212" ht="15" customHeight="1" s="4" customFormat="1">
      <c r="A212" s="9"/>
      <c r="B212" s="11"/>
      <c r="C212" s="11"/>
      <c r="D212" s="11"/>
      <c r="E212" s="11"/>
      <c r="F212" s="11"/>
      <c r="G212" s="14"/>
      <c r="H212" s="11"/>
      <c r="I212" s="11"/>
      <c r="J212" s="11"/>
      <c r="K212" s="11"/>
      <c r="L212" s="11"/>
      <c r="M212" s="12"/>
      <c r="N212" s="11"/>
      <c r="O212" s="13"/>
      <c r="P212" s="12"/>
      <c r="Q212" s="12"/>
      <c r="R212" s="12"/>
      <c r="S212" s="12"/>
    </row>
    <row r="213" ht="15" customHeight="1" s="4" customFormat="1">
      <c r="A213" s="9"/>
      <c r="B213" s="11"/>
      <c r="C213" s="11"/>
      <c r="D213" s="11"/>
      <c r="E213" s="11"/>
      <c r="F213" s="11"/>
      <c r="G213" s="14"/>
      <c r="H213" s="11"/>
      <c r="I213" s="11"/>
      <c r="J213" s="11"/>
      <c r="K213" s="11"/>
      <c r="L213" s="11"/>
      <c r="M213" s="12"/>
      <c r="N213" s="11"/>
      <c r="O213" s="13"/>
      <c r="P213" s="12"/>
      <c r="Q213" s="12"/>
      <c r="R213" s="12"/>
      <c r="S213" s="12"/>
    </row>
    <row r="214" ht="15" customHeight="1" s="4" customFormat="1">
      <c r="A214" s="9"/>
      <c r="B214" s="11"/>
      <c r="C214" s="11"/>
      <c r="D214" s="11"/>
      <c r="E214" s="11"/>
      <c r="F214" s="11"/>
      <c r="G214" s="14"/>
      <c r="H214" s="11"/>
      <c r="I214" s="11"/>
      <c r="J214" s="11"/>
      <c r="K214" s="11"/>
      <c r="L214" s="11"/>
      <c r="M214" s="12"/>
      <c r="N214" s="11"/>
      <c r="O214" s="13"/>
      <c r="P214" s="12"/>
      <c r="Q214" s="12"/>
      <c r="R214" s="12"/>
      <c r="S214" s="12"/>
    </row>
    <row r="215" ht="15" customHeight="1" s="4" customFormat="1">
      <c r="A215" s="9"/>
      <c r="B215" s="11"/>
      <c r="C215" s="11"/>
      <c r="D215" s="11"/>
      <c r="E215" s="11"/>
      <c r="F215" s="11"/>
      <c r="G215" s="14"/>
      <c r="H215" s="11"/>
      <c r="I215" s="11"/>
      <c r="J215" s="11"/>
      <c r="K215" s="11"/>
      <c r="L215" s="11"/>
      <c r="M215" s="12"/>
      <c r="N215" s="11"/>
      <c r="O215" s="13"/>
      <c r="P215" s="12"/>
      <c r="Q215" s="12"/>
      <c r="R215" s="12"/>
      <c r="S215" s="12"/>
    </row>
    <row r="216" ht="15" customHeight="1" s="4" customFormat="1">
      <c r="A216" s="9"/>
      <c r="B216" s="11"/>
      <c r="C216" s="11"/>
      <c r="D216" s="11"/>
      <c r="E216" s="11"/>
      <c r="F216" s="11"/>
      <c r="G216" s="14"/>
      <c r="H216" s="11"/>
      <c r="I216" s="11"/>
      <c r="J216" s="11"/>
      <c r="K216" s="11"/>
      <c r="L216" s="11"/>
      <c r="M216" s="12"/>
      <c r="N216" s="11"/>
      <c r="O216" s="13"/>
      <c r="P216" s="12"/>
      <c r="Q216" s="12"/>
      <c r="R216" s="12"/>
      <c r="S216" s="12"/>
    </row>
    <row r="217" ht="15" customHeight="1" s="4" customFormat="1">
      <c r="A217" s="9"/>
      <c r="B217" s="11"/>
      <c r="C217" s="11"/>
      <c r="D217" s="11"/>
      <c r="E217" s="11"/>
      <c r="F217" s="11"/>
      <c r="G217" s="14"/>
      <c r="H217" s="11"/>
      <c r="I217" s="11"/>
      <c r="J217" s="11"/>
      <c r="K217" s="11"/>
      <c r="L217" s="11"/>
      <c r="M217" s="12"/>
      <c r="N217" s="11"/>
      <c r="O217" s="13"/>
      <c r="P217" s="12"/>
      <c r="Q217" s="12"/>
      <c r="R217" s="12"/>
      <c r="S217" s="12"/>
    </row>
    <row r="218" ht="15" customHeight="1" s="4" customFormat="1">
      <c r="A218" s="9"/>
      <c r="B218" s="11"/>
      <c r="C218" s="11"/>
      <c r="D218" s="11"/>
      <c r="E218" s="11"/>
      <c r="F218" s="11"/>
      <c r="G218" s="14"/>
      <c r="H218" s="11"/>
      <c r="I218" s="11"/>
      <c r="J218" s="11"/>
      <c r="K218" s="11"/>
      <c r="L218" s="11"/>
      <c r="M218" s="12"/>
      <c r="N218" s="11"/>
      <c r="O218" s="13"/>
      <c r="P218" s="12"/>
      <c r="Q218" s="12"/>
      <c r="R218" s="12"/>
      <c r="S218" s="12"/>
    </row>
    <row r="219" ht="15" customHeight="1" s="4" customFormat="1">
      <c r="A219" s="9"/>
      <c r="B219" s="11"/>
      <c r="C219" s="11"/>
      <c r="D219" s="11"/>
      <c r="E219" s="11"/>
      <c r="F219" s="11"/>
      <c r="G219" s="14"/>
      <c r="H219" s="11"/>
      <c r="I219" s="11"/>
      <c r="J219" s="11"/>
      <c r="K219" s="11"/>
      <c r="L219" s="11"/>
      <c r="M219" s="12"/>
      <c r="N219" s="11"/>
      <c r="O219" s="13"/>
      <c r="P219" s="12"/>
      <c r="Q219" s="12"/>
      <c r="R219" s="12"/>
      <c r="S219" s="12"/>
    </row>
    <row r="220" ht="15" customHeight="1" s="4" customFormat="1">
      <c r="A220" s="9"/>
      <c r="B220" s="11"/>
      <c r="C220" s="11"/>
      <c r="D220" s="11"/>
      <c r="E220" s="11"/>
      <c r="F220" s="11"/>
      <c r="G220" s="14"/>
      <c r="H220" s="11"/>
      <c r="I220" s="11"/>
      <c r="J220" s="11"/>
      <c r="K220" s="11"/>
      <c r="L220" s="11"/>
      <c r="M220" s="12"/>
      <c r="N220" s="11"/>
      <c r="O220" s="13"/>
      <c r="P220" s="12"/>
      <c r="Q220" s="12"/>
      <c r="R220" s="12"/>
      <c r="S220" s="12"/>
    </row>
    <row r="221" ht="15" customHeight="1" s="4" customFormat="1">
      <c r="A221" s="9"/>
      <c r="B221" s="11"/>
      <c r="C221" s="11"/>
      <c r="D221" s="11"/>
      <c r="E221" s="11"/>
      <c r="F221" s="11"/>
      <c r="G221" s="14"/>
      <c r="H221" s="11"/>
      <c r="I221" s="11"/>
      <c r="J221" s="11"/>
      <c r="K221" s="11"/>
      <c r="L221" s="11"/>
      <c r="M221" s="12"/>
      <c r="N221" s="11"/>
      <c r="O221" s="13"/>
      <c r="P221" s="12"/>
      <c r="Q221" s="12"/>
      <c r="R221" s="12"/>
      <c r="S221" s="12"/>
    </row>
    <row r="222" ht="15" customHeight="1" s="4" customFormat="1">
      <c r="A222" s="9"/>
      <c r="B222" s="11"/>
      <c r="C222" s="11"/>
      <c r="D222" s="11"/>
      <c r="E222" s="11"/>
      <c r="F222" s="11"/>
      <c r="G222" s="14"/>
      <c r="H222" s="11"/>
      <c r="I222" s="11"/>
      <c r="J222" s="11"/>
      <c r="K222" s="11"/>
      <c r="L222" s="11"/>
      <c r="M222" s="12"/>
      <c r="N222" s="11"/>
      <c r="O222" s="13"/>
      <c r="P222" s="12"/>
      <c r="Q222" s="12"/>
      <c r="R222" s="12"/>
      <c r="S222" s="12"/>
    </row>
    <row r="223" ht="15" customHeight="1" s="4" customFormat="1">
      <c r="A223" s="9"/>
      <c r="B223" s="11"/>
      <c r="C223" s="11"/>
      <c r="D223" s="11"/>
      <c r="E223" s="11"/>
      <c r="F223" s="11"/>
      <c r="G223" s="14"/>
      <c r="H223" s="11"/>
      <c r="I223" s="11"/>
      <c r="J223" s="11"/>
      <c r="K223" s="11"/>
      <c r="L223" s="11"/>
      <c r="M223" s="12"/>
      <c r="N223" s="11"/>
      <c r="O223" s="13"/>
      <c r="P223" s="12"/>
      <c r="Q223" s="12"/>
      <c r="R223" s="12"/>
      <c r="S223" s="12"/>
    </row>
    <row r="224" ht="15" customHeight="1" s="4" customFormat="1">
      <c r="A224" s="9"/>
      <c r="B224" s="11"/>
      <c r="C224" s="11"/>
      <c r="D224" s="11"/>
      <c r="E224" s="11"/>
      <c r="F224" s="11"/>
      <c r="G224" s="14"/>
      <c r="H224" s="11"/>
      <c r="I224" s="11"/>
      <c r="J224" s="11"/>
      <c r="K224" s="11"/>
      <c r="L224" s="11"/>
      <c r="M224" s="12"/>
      <c r="N224" s="11"/>
      <c r="O224" s="13"/>
      <c r="P224" s="12"/>
      <c r="Q224" s="12"/>
      <c r="R224" s="12"/>
      <c r="S224" s="12"/>
    </row>
    <row r="225" ht="15" customHeight="1" s="4" customFormat="1">
      <c r="A225" s="9"/>
      <c r="B225" s="11"/>
      <c r="C225" s="11"/>
      <c r="D225" s="11"/>
      <c r="E225" s="11"/>
      <c r="F225" s="11"/>
      <c r="G225" s="14"/>
      <c r="H225" s="11"/>
      <c r="I225" s="11"/>
      <c r="J225" s="11"/>
      <c r="K225" s="11"/>
      <c r="L225" s="11"/>
      <c r="M225" s="12"/>
      <c r="N225" s="11"/>
      <c r="O225" s="13"/>
      <c r="P225" s="12"/>
      <c r="Q225" s="12"/>
      <c r="R225" s="12"/>
      <c r="S225" s="12"/>
    </row>
    <row r="226" ht="15" customHeight="1" s="4" customFormat="1">
      <c r="A226" s="9"/>
      <c r="B226" s="11"/>
      <c r="C226" s="11"/>
      <c r="D226" s="11"/>
      <c r="E226" s="11"/>
      <c r="F226" s="11"/>
      <c r="G226" s="14"/>
      <c r="H226" s="11"/>
      <c r="I226" s="11"/>
      <c r="J226" s="11"/>
      <c r="K226" s="11"/>
      <c r="L226" s="11"/>
      <c r="M226" s="12"/>
      <c r="N226" s="11"/>
      <c r="O226" s="13"/>
      <c r="P226" s="12"/>
      <c r="Q226" s="12"/>
      <c r="R226" s="12"/>
      <c r="S226" s="12"/>
    </row>
    <row r="227" ht="15" customHeight="1" s="4" customFormat="1">
      <c r="A227" s="9"/>
      <c r="B227" s="11"/>
      <c r="C227" s="11"/>
      <c r="D227" s="11"/>
      <c r="E227" s="11"/>
      <c r="F227" s="11"/>
      <c r="G227" s="14"/>
      <c r="H227" s="11"/>
      <c r="I227" s="11"/>
      <c r="J227" s="11"/>
      <c r="K227" s="11"/>
      <c r="L227" s="11"/>
      <c r="M227" s="12"/>
      <c r="N227" s="11"/>
      <c r="O227" s="13"/>
      <c r="P227" s="12"/>
      <c r="Q227" s="12"/>
      <c r="R227" s="12"/>
      <c r="S227" s="12"/>
    </row>
    <row r="228" ht="15" customHeight="1" s="4" customFormat="1">
      <c r="A228" s="9"/>
      <c r="B228" s="11"/>
      <c r="C228" s="11"/>
      <c r="D228" s="11"/>
      <c r="E228" s="11"/>
      <c r="F228" s="11"/>
      <c r="G228" s="14"/>
      <c r="H228" s="11"/>
      <c r="I228" s="11"/>
      <c r="J228" s="11"/>
      <c r="K228" s="11"/>
      <c r="L228" s="11"/>
      <c r="M228" s="12"/>
      <c r="N228" s="11"/>
      <c r="O228" s="13"/>
      <c r="P228" s="12"/>
      <c r="Q228" s="12"/>
      <c r="R228" s="12"/>
      <c r="S228" s="12"/>
    </row>
    <row r="229" ht="15" customHeight="1" s="4" customFormat="1">
      <c r="A229" s="9"/>
      <c r="B229" s="11"/>
      <c r="C229" s="11"/>
      <c r="D229" s="11"/>
      <c r="E229" s="11"/>
      <c r="F229" s="11"/>
      <c r="G229" s="14"/>
      <c r="H229" s="11"/>
      <c r="I229" s="11"/>
      <c r="J229" s="11"/>
      <c r="K229" s="11"/>
      <c r="L229" s="11"/>
      <c r="M229" s="12"/>
      <c r="N229" s="11"/>
      <c r="O229" s="13"/>
      <c r="P229" s="12"/>
      <c r="Q229" s="12"/>
      <c r="R229" s="12"/>
      <c r="S229" s="12"/>
    </row>
    <row r="230" ht="15" customHeight="1" s="4" customFormat="1">
      <c r="A230" s="9"/>
      <c r="B230" s="11"/>
      <c r="C230" s="11"/>
      <c r="D230" s="11"/>
      <c r="E230" s="11"/>
      <c r="F230" s="11"/>
      <c r="G230" s="14"/>
      <c r="H230" s="11"/>
      <c r="I230" s="11"/>
      <c r="J230" s="11"/>
      <c r="K230" s="11"/>
      <c r="L230" s="11"/>
      <c r="M230" s="12"/>
      <c r="N230" s="11"/>
      <c r="O230" s="13"/>
      <c r="P230" s="12"/>
      <c r="Q230" s="12"/>
      <c r="R230" s="12"/>
      <c r="S230" s="12"/>
    </row>
    <row r="231" ht="15" customHeight="1" s="4" customFormat="1">
      <c r="A231" s="9"/>
      <c r="B231" s="11"/>
      <c r="C231" s="11"/>
      <c r="D231" s="11"/>
      <c r="E231" s="11"/>
      <c r="F231" s="11"/>
      <c r="G231" s="14"/>
      <c r="H231" s="11"/>
      <c r="I231" s="11"/>
      <c r="J231" s="11"/>
      <c r="K231" s="11"/>
      <c r="L231" s="11"/>
      <c r="M231" s="12"/>
      <c r="N231" s="11"/>
      <c r="O231" s="13"/>
      <c r="P231" s="12"/>
      <c r="Q231" s="12"/>
      <c r="R231" s="12"/>
      <c r="S231" s="12"/>
    </row>
    <row r="232" ht="15" customHeight="1" s="4" customFormat="1">
      <c r="A232" s="9"/>
      <c r="B232" s="11"/>
      <c r="C232" s="11"/>
      <c r="D232" s="11"/>
      <c r="E232" s="11"/>
      <c r="F232" s="11"/>
      <c r="G232" s="14"/>
      <c r="H232" s="11"/>
      <c r="I232" s="11"/>
      <c r="J232" s="11"/>
      <c r="K232" s="11"/>
      <c r="L232" s="11"/>
      <c r="M232" s="12"/>
      <c r="N232" s="11"/>
      <c r="O232" s="13"/>
      <c r="P232" s="12"/>
      <c r="Q232" s="12"/>
      <c r="R232" s="12"/>
      <c r="S232" s="12"/>
    </row>
    <row r="233" ht="15" customHeight="1" s="4" customFormat="1">
      <c r="A233" s="9"/>
      <c r="B233" s="11"/>
      <c r="C233" s="11"/>
      <c r="D233" s="11"/>
      <c r="E233" s="11"/>
      <c r="F233" s="11"/>
      <c r="G233" s="14"/>
      <c r="H233" s="11"/>
      <c r="I233" s="11"/>
      <c r="J233" s="11"/>
      <c r="K233" s="11"/>
      <c r="L233" s="11"/>
      <c r="M233" s="12"/>
      <c r="N233" s="11"/>
      <c r="O233" s="13"/>
      <c r="P233" s="12"/>
      <c r="Q233" s="12"/>
      <c r="R233" s="12"/>
      <c r="S233" s="12"/>
    </row>
    <row r="234" ht="15" customHeight="1" s="4" customFormat="1">
      <c r="A234" s="9"/>
      <c r="B234" s="11"/>
      <c r="C234" s="11"/>
      <c r="D234" s="11"/>
      <c r="E234" s="11"/>
      <c r="F234" s="11"/>
      <c r="G234" s="14"/>
      <c r="H234" s="11"/>
      <c r="I234" s="11"/>
      <c r="J234" s="11"/>
      <c r="K234" s="11"/>
      <c r="L234" s="11"/>
      <c r="M234" s="12"/>
      <c r="N234" s="11"/>
      <c r="O234" s="13"/>
      <c r="P234" s="12"/>
      <c r="Q234" s="12"/>
      <c r="R234" s="12"/>
      <c r="S234" s="12"/>
    </row>
    <row r="235" ht="15" customHeight="1" s="4" customFormat="1">
      <c r="A235" s="9"/>
      <c r="B235" s="11"/>
      <c r="C235" s="11"/>
      <c r="D235" s="11"/>
      <c r="E235" s="11"/>
      <c r="F235" s="11"/>
      <c r="G235" s="14"/>
      <c r="H235" s="11"/>
      <c r="I235" s="11"/>
      <c r="J235" s="11"/>
      <c r="K235" s="11"/>
      <c r="L235" s="11"/>
      <c r="M235" s="12"/>
      <c r="N235" s="11"/>
      <c r="O235" s="13"/>
      <c r="P235" s="12"/>
      <c r="Q235" s="12"/>
      <c r="R235" s="12"/>
      <c r="S235" s="12"/>
    </row>
    <row r="236" ht="15" customHeight="1" s="4" customFormat="1">
      <c r="A236" s="9"/>
      <c r="B236" s="11"/>
      <c r="C236" s="11"/>
      <c r="D236" s="11"/>
      <c r="E236" s="11"/>
      <c r="F236" s="11"/>
      <c r="G236" s="14"/>
      <c r="H236" s="11"/>
      <c r="I236" s="11"/>
      <c r="J236" s="11"/>
      <c r="K236" s="11"/>
      <c r="L236" s="11"/>
      <c r="M236" s="12"/>
      <c r="N236" s="11"/>
      <c r="O236" s="13"/>
      <c r="P236" s="12"/>
      <c r="Q236" s="12"/>
      <c r="R236" s="12"/>
      <c r="S236" s="12"/>
    </row>
    <row r="237" ht="15" customHeight="1" s="4" customFormat="1">
      <c r="A237" s="9"/>
      <c r="B237" s="11"/>
      <c r="C237" s="11"/>
      <c r="D237" s="11"/>
      <c r="E237" s="11"/>
      <c r="F237" s="11"/>
      <c r="G237" s="14"/>
      <c r="H237" s="11"/>
      <c r="I237" s="11"/>
      <c r="J237" s="11"/>
      <c r="K237" s="11"/>
      <c r="L237" s="11"/>
      <c r="M237" s="12"/>
      <c r="N237" s="11"/>
      <c r="O237" s="13"/>
      <c r="P237" s="12"/>
      <c r="Q237" s="12"/>
      <c r="R237" s="12"/>
      <c r="S237" s="12"/>
    </row>
    <row r="238" ht="15" customHeight="1" s="4" customFormat="1">
      <c r="A238" s="9"/>
      <c r="B238" s="11"/>
      <c r="C238" s="11"/>
      <c r="D238" s="11"/>
      <c r="E238" s="11"/>
      <c r="F238" s="11"/>
      <c r="G238" s="14"/>
      <c r="H238" s="11"/>
      <c r="I238" s="11"/>
      <c r="J238" s="11"/>
      <c r="K238" s="11"/>
      <c r="L238" s="11"/>
      <c r="M238" s="12"/>
      <c r="N238" s="11"/>
      <c r="O238" s="13"/>
      <c r="P238" s="12"/>
      <c r="Q238" s="12"/>
      <c r="R238" s="12"/>
      <c r="S238" s="12"/>
    </row>
    <row r="239" ht="15" customHeight="1" s="4" customFormat="1">
      <c r="A239" s="9"/>
      <c r="B239" s="11"/>
      <c r="C239" s="11"/>
      <c r="D239" s="11"/>
      <c r="E239" s="11"/>
      <c r="F239" s="11"/>
      <c r="G239" s="14"/>
      <c r="H239" s="11"/>
      <c r="I239" s="11"/>
      <c r="J239" s="11"/>
      <c r="K239" s="11"/>
      <c r="L239" s="11"/>
      <c r="M239" s="12"/>
      <c r="N239" s="11"/>
      <c r="O239" s="13"/>
      <c r="P239" s="12"/>
      <c r="Q239" s="12"/>
      <c r="R239" s="12"/>
      <c r="S239" s="12"/>
    </row>
    <row r="240" ht="15" customHeight="1" s="4" customFormat="1">
      <c r="A240" s="9"/>
      <c r="B240" s="11"/>
      <c r="C240" s="11"/>
      <c r="D240" s="11"/>
      <c r="E240" s="11"/>
      <c r="F240" s="11"/>
      <c r="G240" s="14"/>
      <c r="H240" s="11"/>
      <c r="I240" s="11"/>
      <c r="J240" s="11"/>
      <c r="K240" s="11"/>
      <c r="L240" s="11"/>
      <c r="M240" s="12"/>
      <c r="N240" s="11"/>
      <c r="O240" s="13"/>
      <c r="P240" s="12"/>
      <c r="Q240" s="12"/>
      <c r="R240" s="12"/>
      <c r="S240" s="12"/>
    </row>
    <row r="241" ht="15" customHeight="1" s="4" customFormat="1">
      <c r="A241" s="9"/>
      <c r="B241" s="11"/>
      <c r="C241" s="11"/>
      <c r="D241" s="11"/>
      <c r="E241" s="11"/>
      <c r="F241" s="11"/>
      <c r="G241" s="14"/>
      <c r="H241" s="11"/>
      <c r="I241" s="11"/>
      <c r="J241" s="11"/>
      <c r="K241" s="11"/>
      <c r="L241" s="11"/>
      <c r="M241" s="12"/>
      <c r="N241" s="11"/>
      <c r="O241" s="13"/>
      <c r="P241" s="12"/>
      <c r="Q241" s="12"/>
      <c r="R241" s="12"/>
      <c r="S241" s="12"/>
    </row>
    <row r="242" ht="15" customHeight="1" s="4" customFormat="1">
      <c r="A242" s="9"/>
      <c r="B242" s="11"/>
      <c r="C242" s="11"/>
      <c r="D242" s="11"/>
      <c r="E242" s="11"/>
      <c r="F242" s="11"/>
      <c r="G242" s="14"/>
      <c r="H242" s="11"/>
      <c r="I242" s="11"/>
      <c r="J242" s="11"/>
      <c r="K242" s="11"/>
      <c r="L242" s="11"/>
      <c r="M242" s="12"/>
      <c r="N242" s="11"/>
      <c r="O242" s="13"/>
      <c r="P242" s="12"/>
      <c r="Q242" s="12"/>
      <c r="R242" s="12"/>
      <c r="S242" s="12"/>
    </row>
    <row r="243" ht="15" customHeight="1" s="4" customFormat="1">
      <c r="A243" s="9"/>
      <c r="B243" s="11"/>
      <c r="C243" s="11"/>
      <c r="D243" s="11"/>
      <c r="E243" s="11"/>
      <c r="F243" s="11"/>
      <c r="G243" s="14"/>
      <c r="H243" s="11"/>
      <c r="I243" s="11"/>
      <c r="J243" s="11"/>
      <c r="K243" s="11"/>
      <c r="L243" s="11"/>
      <c r="M243" s="12"/>
      <c r="N243" s="11"/>
      <c r="O243" s="13"/>
      <c r="P243" s="12"/>
      <c r="Q243" s="12"/>
      <c r="R243" s="12"/>
      <c r="S243" s="12"/>
    </row>
    <row r="244" ht="15" customHeight="1" s="4" customFormat="1">
      <c r="A244" s="9"/>
      <c r="B244" s="11"/>
      <c r="C244" s="11"/>
      <c r="D244" s="11"/>
      <c r="E244" s="11"/>
      <c r="F244" s="11"/>
      <c r="G244" s="14"/>
      <c r="H244" s="11"/>
      <c r="I244" s="11"/>
      <c r="J244" s="11"/>
      <c r="K244" s="11"/>
      <c r="L244" s="11"/>
      <c r="M244" s="12"/>
      <c r="N244" s="11"/>
      <c r="O244" s="13"/>
      <c r="P244" s="12"/>
      <c r="Q244" s="12"/>
      <c r="R244" s="12"/>
      <c r="S244" s="12"/>
    </row>
    <row r="245" ht="15" customHeight="1" s="4" customFormat="1">
      <c r="A245" s="9"/>
      <c r="B245" s="11"/>
      <c r="C245" s="11"/>
      <c r="D245" s="11"/>
      <c r="E245" s="11"/>
      <c r="F245" s="11"/>
      <c r="G245" s="14"/>
      <c r="H245" s="11"/>
      <c r="I245" s="11"/>
      <c r="J245" s="11"/>
      <c r="K245" s="11"/>
      <c r="L245" s="11"/>
      <c r="M245" s="12"/>
      <c r="N245" s="11"/>
      <c r="O245" s="13"/>
      <c r="P245" s="12"/>
      <c r="Q245" s="12"/>
      <c r="R245" s="12"/>
      <c r="S245" s="12"/>
    </row>
    <row r="246" ht="15" customHeight="1" s="4" customFormat="1">
      <c r="A246" s="9"/>
      <c r="B246" s="11"/>
      <c r="C246" s="11"/>
      <c r="D246" s="11"/>
      <c r="E246" s="11"/>
      <c r="F246" s="11"/>
      <c r="G246" s="14"/>
      <c r="H246" s="11"/>
      <c r="I246" s="11"/>
      <c r="J246" s="11"/>
      <c r="K246" s="11"/>
      <c r="L246" s="11"/>
      <c r="M246" s="12"/>
      <c r="N246" s="11"/>
      <c r="O246" s="13"/>
      <c r="P246" s="12"/>
      <c r="Q246" s="12"/>
      <c r="R246" s="12"/>
      <c r="S246" s="12"/>
    </row>
    <row r="247" ht="15" customHeight="1" s="4" customFormat="1">
      <c r="A247" s="9"/>
      <c r="B247" s="11"/>
      <c r="C247" s="11"/>
      <c r="D247" s="11"/>
      <c r="E247" s="11"/>
      <c r="F247" s="11"/>
      <c r="G247" s="14"/>
      <c r="H247" s="11"/>
      <c r="I247" s="11"/>
      <c r="J247" s="11"/>
      <c r="K247" s="11"/>
      <c r="L247" s="11"/>
      <c r="M247" s="12"/>
      <c r="N247" s="11"/>
      <c r="O247" s="13"/>
      <c r="P247" s="12"/>
      <c r="Q247" s="12"/>
      <c r="R247" s="12"/>
      <c r="S247" s="12"/>
    </row>
    <row r="248" ht="15" customHeight="1" s="4" customFormat="1">
      <c r="A248" s="9"/>
      <c r="B248" s="11"/>
      <c r="C248" s="11"/>
      <c r="D248" s="11"/>
      <c r="E248" s="11"/>
      <c r="F248" s="11"/>
      <c r="G248" s="14"/>
      <c r="H248" s="11"/>
      <c r="I248" s="11"/>
      <c r="J248" s="11"/>
      <c r="K248" s="11"/>
      <c r="L248" s="11"/>
      <c r="M248" s="12"/>
      <c r="N248" s="11"/>
      <c r="O248" s="13"/>
      <c r="P248" s="12"/>
      <c r="Q248" s="12"/>
      <c r="R248" s="12"/>
      <c r="S248" s="12"/>
    </row>
    <row r="249" ht="15" customHeight="1" s="4" customFormat="1">
      <c r="A249" s="9"/>
      <c r="B249" s="11"/>
      <c r="C249" s="11"/>
      <c r="D249" s="11"/>
      <c r="E249" s="11"/>
      <c r="F249" s="11"/>
      <c r="G249" s="14"/>
      <c r="H249" s="11"/>
      <c r="I249" s="11"/>
      <c r="J249" s="11"/>
      <c r="K249" s="11"/>
      <c r="L249" s="11"/>
      <c r="M249" s="12"/>
      <c r="N249" s="11"/>
      <c r="O249" s="13"/>
      <c r="P249" s="12"/>
      <c r="Q249" s="12"/>
      <c r="R249" s="12"/>
      <c r="S249" s="12"/>
    </row>
    <row r="250" ht="15" customHeight="1" s="4" customFormat="1">
      <c r="A250" s="9"/>
      <c r="B250" s="11"/>
      <c r="C250" s="11"/>
      <c r="D250" s="11"/>
      <c r="E250" s="11"/>
      <c r="F250" s="11"/>
      <c r="G250" s="14"/>
      <c r="H250" s="11"/>
      <c r="I250" s="11"/>
      <c r="J250" s="11"/>
      <c r="K250" s="11"/>
      <c r="L250" s="11"/>
      <c r="M250" s="12"/>
      <c r="N250" s="11"/>
      <c r="O250" s="13"/>
      <c r="P250" s="12"/>
      <c r="Q250" s="12"/>
      <c r="R250" s="12"/>
      <c r="S250" s="12"/>
    </row>
    <row r="251" ht="15" customHeight="1" s="4" customFormat="1">
      <c r="A251" s="9"/>
      <c r="B251" s="11"/>
      <c r="C251" s="11"/>
      <c r="D251" s="11"/>
      <c r="E251" s="11"/>
      <c r="F251" s="11"/>
      <c r="G251" s="14"/>
      <c r="H251" s="11"/>
      <c r="I251" s="11"/>
      <c r="J251" s="11"/>
      <c r="K251" s="11"/>
      <c r="L251" s="11"/>
      <c r="M251" s="12"/>
      <c r="N251" s="11"/>
      <c r="O251" s="13"/>
      <c r="P251" s="12"/>
      <c r="Q251" s="12"/>
      <c r="R251" s="12"/>
      <c r="S251" s="12"/>
    </row>
    <row r="252" ht="15" customHeight="1" s="4" customFormat="1">
      <c r="A252" s="9"/>
      <c r="B252" s="11"/>
      <c r="C252" s="11"/>
      <c r="D252" s="11"/>
      <c r="E252" s="11"/>
      <c r="F252" s="11"/>
      <c r="G252" s="14"/>
      <c r="H252" s="11"/>
      <c r="I252" s="11"/>
      <c r="J252" s="11"/>
      <c r="K252" s="11"/>
      <c r="L252" s="11"/>
      <c r="M252" s="12"/>
      <c r="N252" s="11"/>
      <c r="O252" s="13"/>
      <c r="P252" s="12"/>
      <c r="Q252" s="12"/>
      <c r="R252" s="12"/>
      <c r="S252" s="12"/>
    </row>
    <row r="253" ht="15" customHeight="1" s="4" customFormat="1">
      <c r="A253" s="9"/>
      <c r="B253" s="11"/>
      <c r="C253" s="11"/>
      <c r="D253" s="11"/>
      <c r="E253" s="11"/>
      <c r="F253" s="11"/>
      <c r="G253" s="14"/>
      <c r="H253" s="11"/>
      <c r="I253" s="11"/>
      <c r="J253" s="11"/>
      <c r="K253" s="11"/>
      <c r="L253" s="11"/>
      <c r="M253" s="12"/>
      <c r="N253" s="11"/>
      <c r="O253" s="13"/>
      <c r="P253" s="12"/>
      <c r="Q253" s="12"/>
      <c r="R253" s="12"/>
      <c r="S253" s="12"/>
    </row>
    <row r="254" ht="15" customHeight="1" s="4" customFormat="1">
      <c r="A254" s="9"/>
      <c r="B254" s="11"/>
      <c r="C254" s="11"/>
      <c r="D254" s="11"/>
      <c r="E254" s="11"/>
      <c r="F254" s="11"/>
      <c r="G254" s="14"/>
      <c r="H254" s="11"/>
      <c r="I254" s="11"/>
      <c r="J254" s="11"/>
      <c r="K254" s="11"/>
      <c r="L254" s="11"/>
      <c r="M254" s="12"/>
      <c r="N254" s="11"/>
      <c r="O254" s="13"/>
      <c r="P254" s="12"/>
      <c r="Q254" s="12"/>
      <c r="R254" s="12"/>
      <c r="S254" s="12"/>
    </row>
    <row r="255" ht="15" customHeight="1" s="4" customFormat="1">
      <c r="A255" s="9"/>
      <c r="B255" s="11"/>
      <c r="C255" s="11"/>
      <c r="D255" s="11"/>
      <c r="E255" s="11"/>
      <c r="F255" s="11"/>
      <c r="G255" s="14"/>
      <c r="H255" s="11"/>
      <c r="I255" s="11"/>
      <c r="J255" s="11"/>
      <c r="K255" s="11"/>
      <c r="L255" s="11"/>
      <c r="M255" s="12"/>
      <c r="N255" s="11"/>
      <c r="O255" s="13"/>
      <c r="P255" s="12"/>
      <c r="Q255" s="12"/>
      <c r="R255" s="12"/>
      <c r="S255" s="12"/>
    </row>
    <row r="256" ht="15" customHeight="1" s="4" customFormat="1">
      <c r="A256" s="9"/>
      <c r="B256" s="11"/>
      <c r="C256" s="11"/>
      <c r="D256" s="11"/>
      <c r="E256" s="11"/>
      <c r="F256" s="11"/>
      <c r="G256" s="14"/>
      <c r="H256" s="11"/>
      <c r="I256" s="11"/>
      <c r="J256" s="11"/>
      <c r="K256" s="11"/>
      <c r="L256" s="11"/>
      <c r="M256" s="12"/>
      <c r="N256" s="11"/>
      <c r="O256" s="13"/>
      <c r="P256" s="12"/>
      <c r="Q256" s="12"/>
      <c r="R256" s="12"/>
      <c r="S256" s="12"/>
    </row>
    <row r="257" ht="15" customHeight="1" s="4" customFormat="1">
      <c r="A257" s="9"/>
      <c r="B257" s="11"/>
      <c r="C257" s="11"/>
      <c r="D257" s="11"/>
      <c r="E257" s="11"/>
      <c r="F257" s="11"/>
      <c r="G257" s="14"/>
      <c r="H257" s="11"/>
      <c r="I257" s="11"/>
      <c r="J257" s="11"/>
      <c r="K257" s="11"/>
      <c r="L257" s="11"/>
      <c r="M257" s="12"/>
      <c r="N257" s="11"/>
      <c r="O257" s="13"/>
      <c r="P257" s="12"/>
      <c r="Q257" s="12"/>
      <c r="R257" s="12"/>
      <c r="S257" s="12"/>
    </row>
    <row r="258" ht="15" customHeight="1" s="4" customFormat="1">
      <c r="A258" s="9"/>
      <c r="B258" s="11"/>
      <c r="C258" s="11"/>
      <c r="D258" s="11"/>
      <c r="E258" s="11"/>
      <c r="F258" s="11"/>
      <c r="G258" s="14"/>
      <c r="H258" s="11"/>
      <c r="I258" s="11"/>
      <c r="J258" s="11"/>
      <c r="K258" s="11"/>
      <c r="L258" s="11"/>
      <c r="M258" s="12"/>
      <c r="N258" s="11"/>
      <c r="O258" s="13"/>
      <c r="P258" s="12"/>
      <c r="Q258" s="12"/>
      <c r="R258" s="12"/>
      <c r="S258" s="12"/>
    </row>
    <row r="259" ht="15" customHeight="1" s="4" customFormat="1">
      <c r="A259" s="9"/>
      <c r="B259" s="11"/>
      <c r="C259" s="11"/>
      <c r="D259" s="11"/>
      <c r="E259" s="11"/>
      <c r="F259" s="11"/>
      <c r="G259" s="14"/>
      <c r="H259" s="11"/>
      <c r="I259" s="11"/>
      <c r="J259" s="11"/>
      <c r="K259" s="11"/>
      <c r="L259" s="11"/>
      <c r="M259" s="12"/>
      <c r="N259" s="11"/>
      <c r="O259" s="13"/>
      <c r="P259" s="12"/>
      <c r="Q259" s="12"/>
      <c r="R259" s="12"/>
      <c r="S259" s="12"/>
    </row>
    <row r="260" ht="15" customHeight="1" s="4" customFormat="1">
      <c r="A260" s="9"/>
      <c r="B260" s="11"/>
      <c r="C260" s="11"/>
      <c r="D260" s="11"/>
      <c r="E260" s="11"/>
      <c r="F260" s="11"/>
      <c r="G260" s="14"/>
      <c r="H260" s="11"/>
      <c r="I260" s="11"/>
      <c r="J260" s="11"/>
      <c r="K260" s="11"/>
      <c r="L260" s="11"/>
      <c r="M260" s="12"/>
      <c r="N260" s="11"/>
      <c r="O260" s="13"/>
      <c r="P260" s="12"/>
      <c r="Q260" s="12"/>
      <c r="R260" s="12"/>
      <c r="S260" s="12"/>
    </row>
    <row r="261" ht="15" customHeight="1" s="4" customFormat="1">
      <c r="A261" s="9"/>
      <c r="B261" s="11"/>
      <c r="C261" s="11"/>
      <c r="D261" s="11"/>
      <c r="E261" s="11"/>
      <c r="F261" s="11"/>
      <c r="G261" s="14"/>
      <c r="H261" s="11"/>
      <c r="I261" s="11"/>
      <c r="J261" s="11"/>
      <c r="K261" s="11"/>
      <c r="L261" s="11"/>
      <c r="M261" s="12"/>
      <c r="N261" s="11"/>
      <c r="O261" s="13"/>
      <c r="P261" s="12"/>
      <c r="Q261" s="12"/>
      <c r="R261" s="12"/>
      <c r="S261" s="12"/>
    </row>
    <row r="262" ht="15" customHeight="1" s="4" customFormat="1">
      <c r="A262" s="9"/>
      <c r="B262" s="11"/>
      <c r="C262" s="11"/>
      <c r="D262" s="11"/>
      <c r="E262" s="11"/>
      <c r="F262" s="11"/>
      <c r="G262" s="14"/>
      <c r="H262" s="11"/>
      <c r="I262" s="11"/>
      <c r="J262" s="11"/>
      <c r="K262" s="11"/>
      <c r="L262" s="11"/>
      <c r="M262" s="12"/>
      <c r="N262" s="11"/>
      <c r="O262" s="13"/>
      <c r="P262" s="12"/>
      <c r="Q262" s="12"/>
      <c r="R262" s="12"/>
      <c r="S262" s="12"/>
    </row>
    <row r="263" ht="15" customHeight="1" s="4" customFormat="1">
      <c r="A263" s="9"/>
      <c r="B263" s="11"/>
      <c r="C263" s="11"/>
      <c r="D263" s="11"/>
      <c r="E263" s="11"/>
      <c r="F263" s="11"/>
      <c r="G263" s="14"/>
      <c r="H263" s="11"/>
      <c r="I263" s="11"/>
      <c r="J263" s="11"/>
      <c r="K263" s="11"/>
      <c r="L263" s="11"/>
      <c r="M263" s="12"/>
      <c r="N263" s="11"/>
      <c r="O263" s="13"/>
      <c r="P263" s="12"/>
      <c r="Q263" s="12"/>
      <c r="R263" s="12"/>
      <c r="S263" s="12"/>
    </row>
    <row r="264" ht="15" customHeight="1" s="4" customFormat="1">
      <c r="A264" s="9"/>
      <c r="B264" s="11"/>
      <c r="C264" s="11"/>
      <c r="D264" s="11"/>
      <c r="E264" s="11"/>
      <c r="F264" s="11"/>
      <c r="G264" s="14"/>
      <c r="H264" s="11"/>
      <c r="I264" s="11"/>
      <c r="J264" s="11"/>
      <c r="K264" s="11"/>
      <c r="L264" s="11"/>
      <c r="M264" s="12"/>
      <c r="N264" s="11"/>
      <c r="O264" s="13"/>
      <c r="P264" s="12"/>
      <c r="Q264" s="12"/>
      <c r="R264" s="12"/>
      <c r="S264" s="12"/>
    </row>
    <row r="265" ht="15" customHeight="1" s="4" customFormat="1">
      <c r="A265" s="9"/>
      <c r="B265" s="11"/>
      <c r="C265" s="11"/>
      <c r="D265" s="11"/>
      <c r="E265" s="11"/>
      <c r="F265" s="11"/>
      <c r="G265" s="14"/>
      <c r="H265" s="11"/>
      <c r="I265" s="11"/>
      <c r="J265" s="11"/>
      <c r="K265" s="11"/>
      <c r="L265" s="11"/>
      <c r="M265" s="12"/>
      <c r="N265" s="11"/>
      <c r="O265" s="13"/>
      <c r="P265" s="12"/>
      <c r="Q265" s="12"/>
      <c r="R265" s="12"/>
      <c r="S265" s="12"/>
    </row>
    <row r="266" ht="15" customHeight="1" s="4" customFormat="1">
      <c r="A266" s="9"/>
      <c r="B266" s="11"/>
      <c r="C266" s="11"/>
      <c r="D266" s="11"/>
      <c r="E266" s="11"/>
      <c r="F266" s="11"/>
      <c r="G266" s="14"/>
      <c r="H266" s="11"/>
      <c r="I266" s="11"/>
      <c r="J266" s="11"/>
      <c r="K266" s="11"/>
      <c r="L266" s="11"/>
      <c r="M266" s="12"/>
      <c r="N266" s="11"/>
      <c r="O266" s="13"/>
      <c r="P266" s="12"/>
      <c r="Q266" s="12"/>
      <c r="R266" s="12"/>
      <c r="S266" s="12"/>
    </row>
    <row r="267" ht="15" customHeight="1" s="4" customFormat="1">
      <c r="A267" s="9"/>
      <c r="B267" s="11"/>
      <c r="C267" s="11"/>
      <c r="D267" s="11"/>
      <c r="E267" s="11"/>
      <c r="F267" s="11"/>
      <c r="G267" s="14"/>
      <c r="H267" s="11"/>
      <c r="I267" s="11"/>
      <c r="J267" s="11"/>
      <c r="K267" s="11"/>
      <c r="L267" s="11"/>
      <c r="M267" s="12"/>
      <c r="N267" s="11"/>
      <c r="O267" s="13"/>
      <c r="P267" s="12"/>
      <c r="Q267" s="12"/>
      <c r="R267" s="12"/>
      <c r="S267" s="12"/>
    </row>
    <row r="268" ht="15" customHeight="1" s="4" customFormat="1">
      <c r="A268" s="9"/>
      <c r="B268" s="11"/>
      <c r="C268" s="11"/>
      <c r="D268" s="11"/>
      <c r="E268" s="11"/>
      <c r="F268" s="11"/>
      <c r="G268" s="14"/>
      <c r="H268" s="11"/>
      <c r="I268" s="11"/>
      <c r="J268" s="11"/>
      <c r="K268" s="11"/>
      <c r="L268" s="11"/>
      <c r="M268" s="12"/>
      <c r="N268" s="11"/>
      <c r="O268" s="13"/>
      <c r="P268" s="12"/>
      <c r="Q268" s="12"/>
      <c r="R268" s="12"/>
      <c r="S268" s="12"/>
    </row>
    <row r="269" ht="15" customHeight="1" s="4" customFormat="1">
      <c r="A269" s="9"/>
      <c r="B269" s="11"/>
      <c r="C269" s="11"/>
      <c r="D269" s="11"/>
      <c r="E269" s="11"/>
      <c r="F269" s="11"/>
      <c r="G269" s="14"/>
      <c r="H269" s="11"/>
      <c r="I269" s="11"/>
      <c r="J269" s="11"/>
      <c r="K269" s="11"/>
      <c r="L269" s="11"/>
      <c r="M269" s="12"/>
      <c r="N269" s="11"/>
      <c r="O269" s="13"/>
      <c r="P269" s="12"/>
      <c r="Q269" s="12"/>
      <c r="R269" s="12"/>
      <c r="S269" s="12"/>
    </row>
    <row r="270" ht="15" customHeight="1" s="4" customFormat="1">
      <c r="A270" s="9"/>
      <c r="B270" s="11"/>
      <c r="C270" s="11"/>
      <c r="D270" s="11"/>
      <c r="E270" s="11"/>
      <c r="F270" s="11"/>
      <c r="G270" s="14"/>
      <c r="H270" s="11"/>
      <c r="I270" s="11"/>
      <c r="J270" s="11"/>
      <c r="K270" s="11"/>
      <c r="L270" s="11"/>
      <c r="M270" s="12"/>
      <c r="N270" s="11"/>
      <c r="O270" s="13"/>
      <c r="P270" s="12"/>
      <c r="Q270" s="12"/>
      <c r="R270" s="12"/>
      <c r="S270" s="12"/>
    </row>
    <row r="271" ht="15" customHeight="1" s="4" customFormat="1">
      <c r="A271" s="9"/>
      <c r="B271" s="11"/>
      <c r="C271" s="11"/>
      <c r="D271" s="11"/>
      <c r="E271" s="11"/>
      <c r="F271" s="11"/>
      <c r="G271" s="14"/>
      <c r="H271" s="11"/>
      <c r="I271" s="11"/>
      <c r="J271" s="11"/>
      <c r="K271" s="11"/>
      <c r="L271" s="11"/>
      <c r="M271" s="12"/>
      <c r="N271" s="11"/>
      <c r="O271" s="13"/>
      <c r="P271" s="12"/>
      <c r="Q271" s="12"/>
      <c r="R271" s="12"/>
      <c r="S271" s="12"/>
    </row>
    <row r="272" ht="15" customHeight="1" s="4" customFormat="1">
      <c r="A272" s="9"/>
      <c r="B272" s="11"/>
      <c r="C272" s="11"/>
      <c r="D272" s="11"/>
      <c r="E272" s="11"/>
      <c r="F272" s="11"/>
      <c r="G272" s="14"/>
      <c r="H272" s="11"/>
      <c r="I272" s="11"/>
      <c r="J272" s="11"/>
      <c r="K272" s="11"/>
      <c r="L272" s="11"/>
      <c r="M272" s="12"/>
      <c r="N272" s="11"/>
      <c r="O272" s="13"/>
      <c r="P272" s="12"/>
      <c r="Q272" s="12"/>
      <c r="R272" s="12"/>
      <c r="S272" s="12"/>
    </row>
    <row r="273" ht="15" customHeight="1" s="4" customFormat="1">
      <c r="A273" s="9"/>
      <c r="B273" s="11"/>
      <c r="C273" s="11"/>
      <c r="D273" s="11"/>
      <c r="E273" s="11"/>
      <c r="F273" s="11"/>
      <c r="G273" s="14"/>
      <c r="H273" s="11"/>
      <c r="I273" s="11"/>
      <c r="J273" s="11"/>
      <c r="K273" s="11"/>
      <c r="L273" s="11"/>
      <c r="M273" s="12"/>
      <c r="N273" s="11"/>
      <c r="O273" s="13"/>
      <c r="P273" s="12"/>
      <c r="Q273" s="12"/>
      <c r="R273" s="12"/>
      <c r="S273" s="12"/>
    </row>
    <row r="274" ht="15" customHeight="1" s="4" customFormat="1">
      <c r="A274" s="9"/>
      <c r="B274" s="11"/>
      <c r="C274" s="11"/>
      <c r="D274" s="11"/>
      <c r="E274" s="11"/>
      <c r="F274" s="11"/>
      <c r="G274" s="14"/>
      <c r="H274" s="11"/>
      <c r="I274" s="11"/>
      <c r="J274" s="11"/>
      <c r="K274" s="11"/>
      <c r="L274" s="11"/>
      <c r="M274" s="12"/>
      <c r="N274" s="11"/>
      <c r="O274" s="13"/>
      <c r="P274" s="12"/>
      <c r="Q274" s="12"/>
      <c r="R274" s="12"/>
      <c r="S274" s="12"/>
    </row>
    <row r="275" ht="15" customHeight="1" s="4" customFormat="1">
      <c r="A275" s="9"/>
      <c r="B275" s="11"/>
      <c r="C275" s="11"/>
      <c r="D275" s="11"/>
      <c r="E275" s="11"/>
      <c r="F275" s="11"/>
      <c r="G275" s="14"/>
      <c r="H275" s="11"/>
      <c r="I275" s="11"/>
      <c r="J275" s="11"/>
      <c r="K275" s="11"/>
      <c r="L275" s="11"/>
      <c r="M275" s="12"/>
      <c r="N275" s="11"/>
      <c r="O275" s="13"/>
      <c r="P275" s="12"/>
      <c r="Q275" s="12"/>
      <c r="R275" s="12"/>
      <c r="S275" s="12"/>
    </row>
    <row r="276" ht="15" customHeight="1" s="4" customFormat="1">
      <c r="A276" s="9"/>
      <c r="B276" s="11"/>
      <c r="C276" s="11"/>
      <c r="D276" s="11"/>
      <c r="E276" s="11"/>
      <c r="F276" s="11"/>
      <c r="G276" s="14"/>
      <c r="H276" s="11"/>
      <c r="I276" s="11"/>
      <c r="J276" s="11"/>
      <c r="K276" s="11"/>
      <c r="L276" s="11"/>
      <c r="M276" s="12"/>
      <c r="N276" s="11"/>
      <c r="O276" s="13"/>
      <c r="P276" s="12"/>
      <c r="Q276" s="12"/>
      <c r="R276" s="12"/>
      <c r="S276" s="12"/>
    </row>
    <row r="277" ht="15" customHeight="1" s="4" customFormat="1">
      <c r="A277" s="9"/>
      <c r="B277" s="11"/>
      <c r="C277" s="11"/>
      <c r="D277" s="11"/>
      <c r="E277" s="11"/>
      <c r="F277" s="11"/>
      <c r="G277" s="14"/>
      <c r="H277" s="11"/>
      <c r="I277" s="11"/>
      <c r="J277" s="11"/>
      <c r="K277" s="11"/>
      <c r="L277" s="11"/>
      <c r="M277" s="12"/>
      <c r="N277" s="11"/>
      <c r="O277" s="13"/>
      <c r="P277" s="12"/>
      <c r="Q277" s="12"/>
      <c r="R277" s="12"/>
      <c r="S277" s="12"/>
    </row>
    <row r="278" ht="15" customHeight="1" s="4" customFormat="1">
      <c r="A278" s="9"/>
      <c r="B278" s="11"/>
      <c r="C278" s="11"/>
      <c r="D278" s="11"/>
      <c r="E278" s="11"/>
      <c r="F278" s="11"/>
      <c r="G278" s="14"/>
      <c r="H278" s="11"/>
      <c r="I278" s="11"/>
      <c r="J278" s="11"/>
      <c r="K278" s="11"/>
      <c r="L278" s="11"/>
      <c r="M278" s="12"/>
      <c r="N278" s="11"/>
      <c r="O278" s="13"/>
      <c r="P278" s="12"/>
      <c r="Q278" s="12"/>
      <c r="R278" s="12"/>
      <c r="S278" s="12"/>
    </row>
    <row r="279" ht="15" customHeight="1" s="4" customFormat="1">
      <c r="A279" s="9"/>
      <c r="B279" s="11"/>
      <c r="C279" s="11"/>
      <c r="D279" s="11"/>
      <c r="E279" s="11"/>
      <c r="F279" s="11"/>
      <c r="G279" s="14"/>
      <c r="H279" s="11"/>
      <c r="I279" s="11"/>
      <c r="J279" s="11"/>
      <c r="K279" s="11"/>
      <c r="L279" s="11"/>
      <c r="M279" s="12"/>
      <c r="N279" s="11"/>
      <c r="O279" s="13"/>
      <c r="P279" s="12"/>
      <c r="Q279" s="12"/>
      <c r="R279" s="12"/>
      <c r="S279" s="12"/>
    </row>
    <row r="280" ht="15" customHeight="1" s="4" customFormat="1">
      <c r="A280" s="9"/>
      <c r="B280" s="11"/>
      <c r="C280" s="11"/>
      <c r="D280" s="11"/>
      <c r="E280" s="11"/>
      <c r="F280" s="11"/>
      <c r="G280" s="14"/>
      <c r="H280" s="11"/>
      <c r="I280" s="11"/>
      <c r="J280" s="11"/>
      <c r="K280" s="11"/>
      <c r="L280" s="11"/>
      <c r="M280" s="12"/>
      <c r="N280" s="11"/>
      <c r="O280" s="13"/>
      <c r="P280" s="12"/>
      <c r="Q280" s="12"/>
      <c r="R280" s="12"/>
      <c r="S280" s="12"/>
    </row>
    <row r="281" ht="15" customHeight="1" s="4" customFormat="1">
      <c r="A281" s="9"/>
      <c r="B281" s="11"/>
      <c r="C281" s="11"/>
      <c r="D281" s="11"/>
      <c r="E281" s="11"/>
      <c r="F281" s="11"/>
      <c r="G281" s="14"/>
      <c r="H281" s="11"/>
      <c r="I281" s="11"/>
      <c r="J281" s="11"/>
      <c r="K281" s="11"/>
      <c r="L281" s="11"/>
      <c r="M281" s="12"/>
      <c r="N281" s="11"/>
      <c r="O281" s="13"/>
      <c r="P281" s="12"/>
      <c r="Q281" s="12"/>
      <c r="R281" s="12"/>
      <c r="S281" s="12"/>
    </row>
    <row r="282" ht="15" customHeight="1" s="4" customFormat="1">
      <c r="A282" s="9"/>
      <c r="B282" s="11"/>
      <c r="C282" s="11"/>
      <c r="D282" s="11"/>
      <c r="E282" s="11"/>
      <c r="F282" s="11"/>
      <c r="G282" s="14"/>
      <c r="H282" s="11"/>
      <c r="I282" s="11"/>
      <c r="J282" s="11"/>
      <c r="K282" s="11"/>
      <c r="L282" s="11"/>
      <c r="M282" s="12"/>
      <c r="N282" s="11"/>
      <c r="O282" s="13"/>
      <c r="P282" s="12"/>
      <c r="Q282" s="12"/>
      <c r="R282" s="12"/>
      <c r="S282" s="12"/>
    </row>
    <row r="283" ht="15" customHeight="1" s="4" customFormat="1">
      <c r="A283" s="9"/>
      <c r="B283" s="11"/>
      <c r="C283" s="11"/>
      <c r="D283" s="11"/>
      <c r="E283" s="11"/>
      <c r="F283" s="11"/>
      <c r="G283" s="14"/>
      <c r="H283" s="11"/>
      <c r="I283" s="11"/>
      <c r="J283" s="11"/>
      <c r="K283" s="11"/>
      <c r="L283" s="11"/>
      <c r="M283" s="12"/>
      <c r="N283" s="11"/>
      <c r="O283" s="13"/>
      <c r="P283" s="12"/>
      <c r="Q283" s="12"/>
      <c r="R283" s="12"/>
      <c r="S283" s="12"/>
    </row>
    <row r="284" ht="15" customHeight="1" s="4" customFormat="1">
      <c r="A284" s="9"/>
      <c r="B284" s="11"/>
      <c r="C284" s="11"/>
      <c r="D284" s="11"/>
      <c r="E284" s="11"/>
      <c r="F284" s="11"/>
      <c r="G284" s="14"/>
      <c r="H284" s="11"/>
      <c r="I284" s="11"/>
      <c r="J284" s="11"/>
      <c r="K284" s="11"/>
      <c r="L284" s="11"/>
      <c r="M284" s="12"/>
      <c r="N284" s="11"/>
      <c r="O284" s="13"/>
      <c r="P284" s="12"/>
      <c r="Q284" s="12"/>
      <c r="R284" s="12"/>
      <c r="S284" s="12"/>
    </row>
    <row r="285" ht="15" customHeight="1" s="4" customFormat="1">
      <c r="A285" s="9"/>
      <c r="B285" s="11"/>
      <c r="C285" s="11"/>
      <c r="D285" s="11"/>
      <c r="E285" s="11"/>
      <c r="F285" s="11"/>
      <c r="G285" s="14"/>
      <c r="H285" s="11"/>
      <c r="I285" s="11"/>
      <c r="J285" s="11"/>
      <c r="K285" s="11"/>
      <c r="L285" s="11"/>
      <c r="M285" s="12"/>
      <c r="N285" s="11"/>
      <c r="O285" s="13"/>
      <c r="P285" s="12"/>
      <c r="Q285" s="12"/>
      <c r="R285" s="12"/>
      <c r="S285" s="12"/>
    </row>
    <row r="286" ht="15" customHeight="1" s="4" customFormat="1">
      <c r="A286" s="9"/>
      <c r="B286" s="11"/>
      <c r="C286" s="11"/>
      <c r="D286" s="11"/>
      <c r="E286" s="11"/>
      <c r="F286" s="11"/>
      <c r="G286" s="14"/>
      <c r="H286" s="11"/>
      <c r="I286" s="11"/>
      <c r="J286" s="11"/>
      <c r="K286" s="11"/>
      <c r="L286" s="11"/>
      <c r="M286" s="12"/>
      <c r="N286" s="11"/>
      <c r="O286" s="13"/>
      <c r="P286" s="12"/>
      <c r="Q286" s="12"/>
      <c r="R286" s="12"/>
      <c r="S286" s="12"/>
    </row>
    <row r="287" ht="15" customHeight="1" s="4" customFormat="1">
      <c r="A287" s="9"/>
      <c r="B287" s="11"/>
      <c r="C287" s="11"/>
      <c r="D287" s="11"/>
      <c r="E287" s="11"/>
      <c r="F287" s="11"/>
      <c r="G287" s="14"/>
      <c r="H287" s="11"/>
      <c r="I287" s="11"/>
      <c r="J287" s="11"/>
      <c r="K287" s="11"/>
      <c r="L287" s="11"/>
      <c r="M287" s="12"/>
      <c r="N287" s="11"/>
      <c r="O287" s="13"/>
      <c r="P287" s="12"/>
      <c r="Q287" s="12"/>
      <c r="R287" s="12"/>
      <c r="S287" s="12"/>
    </row>
    <row r="288" ht="15" customHeight="1" s="4" customFormat="1">
      <c r="A288" s="9"/>
      <c r="B288" s="11"/>
      <c r="C288" s="11"/>
      <c r="D288" s="11"/>
      <c r="E288" s="11"/>
      <c r="F288" s="11"/>
      <c r="G288" s="14"/>
      <c r="H288" s="11"/>
      <c r="I288" s="11"/>
      <c r="J288" s="11"/>
      <c r="K288" s="11"/>
      <c r="L288" s="11"/>
      <c r="M288" s="12"/>
      <c r="N288" s="11"/>
      <c r="O288" s="13"/>
      <c r="P288" s="12"/>
      <c r="Q288" s="12"/>
      <c r="R288" s="12"/>
      <c r="S288" s="12"/>
    </row>
    <row r="289" ht="15" customHeight="1" s="4" customFormat="1">
      <c r="A289" s="9"/>
      <c r="B289" s="11"/>
      <c r="C289" s="11"/>
      <c r="D289" s="11"/>
      <c r="E289" s="11"/>
      <c r="F289" s="11"/>
      <c r="G289" s="14"/>
      <c r="H289" s="11"/>
      <c r="I289" s="11"/>
      <c r="J289" s="11"/>
      <c r="K289" s="11"/>
      <c r="L289" s="11"/>
      <c r="M289" s="12"/>
      <c r="N289" s="11"/>
      <c r="O289" s="13"/>
      <c r="P289" s="12"/>
      <c r="Q289" s="12"/>
      <c r="R289" s="12"/>
      <c r="S289" s="12"/>
    </row>
    <row r="290" ht="15" customHeight="1" s="4" customFormat="1">
      <c r="A290" s="9"/>
      <c r="B290" s="11"/>
      <c r="C290" s="11"/>
      <c r="D290" s="11"/>
      <c r="E290" s="11"/>
      <c r="F290" s="11"/>
      <c r="G290" s="14"/>
      <c r="H290" s="11"/>
      <c r="I290" s="11"/>
      <c r="J290" s="11"/>
      <c r="K290" s="11"/>
      <c r="L290" s="11"/>
      <c r="M290" s="12"/>
      <c r="N290" s="11"/>
      <c r="O290" s="13"/>
      <c r="P290" s="12"/>
      <c r="Q290" s="12"/>
      <c r="R290" s="12"/>
      <c r="S290" s="12"/>
    </row>
    <row r="291" ht="15" customHeight="1" s="4" customFormat="1">
      <c r="A291" s="9"/>
      <c r="B291" s="11"/>
      <c r="C291" s="11"/>
      <c r="D291" s="11"/>
      <c r="E291" s="11"/>
      <c r="F291" s="11"/>
      <c r="G291" s="14"/>
      <c r="H291" s="11"/>
      <c r="I291" s="11"/>
      <c r="J291" s="11"/>
      <c r="K291" s="11"/>
      <c r="L291" s="11"/>
      <c r="M291" s="12"/>
      <c r="N291" s="11"/>
      <c r="O291" s="13"/>
      <c r="P291" s="12"/>
      <c r="Q291" s="12"/>
      <c r="R291" s="12"/>
      <c r="S291" s="12"/>
    </row>
    <row r="292" ht="15" customHeight="1" s="4" customFormat="1">
      <c r="A292" s="9"/>
      <c r="B292" s="11"/>
      <c r="C292" s="11"/>
      <c r="D292" s="11"/>
      <c r="E292" s="11"/>
      <c r="F292" s="11"/>
      <c r="G292" s="14"/>
      <c r="H292" s="11"/>
      <c r="I292" s="11"/>
      <c r="J292" s="11"/>
      <c r="K292" s="11"/>
      <c r="L292" s="11"/>
      <c r="M292" s="12"/>
      <c r="N292" s="11"/>
      <c r="O292" s="13"/>
      <c r="P292" s="12"/>
      <c r="Q292" s="12"/>
      <c r="R292" s="12"/>
      <c r="S292" s="12"/>
    </row>
    <row r="293" ht="15" customHeight="1" s="4" customFormat="1">
      <c r="A293" s="9"/>
      <c r="B293" s="11"/>
      <c r="C293" s="11"/>
      <c r="D293" s="11"/>
      <c r="E293" s="11"/>
      <c r="F293" s="11"/>
      <c r="G293" s="14"/>
      <c r="H293" s="11"/>
      <c r="I293" s="11"/>
      <c r="J293" s="11"/>
      <c r="K293" s="11"/>
      <c r="L293" s="11"/>
      <c r="M293" s="12"/>
      <c r="N293" s="11"/>
      <c r="O293" s="13"/>
      <c r="P293" s="12"/>
      <c r="Q293" s="12"/>
      <c r="R293" s="12"/>
      <c r="S293" s="12"/>
    </row>
    <row r="294" ht="15" customHeight="1" s="4" customFormat="1">
      <c r="A294" s="9"/>
      <c r="B294" s="11"/>
      <c r="C294" s="11"/>
      <c r="D294" s="11"/>
      <c r="E294" s="11"/>
      <c r="F294" s="11"/>
      <c r="G294" s="14"/>
      <c r="H294" s="11"/>
      <c r="I294" s="11"/>
      <c r="J294" s="11"/>
      <c r="K294" s="11"/>
      <c r="L294" s="11"/>
      <c r="M294" s="12"/>
      <c r="N294" s="11"/>
      <c r="O294" s="13"/>
      <c r="P294" s="12"/>
      <c r="Q294" s="12"/>
      <c r="R294" s="12"/>
      <c r="S294" s="12"/>
    </row>
    <row r="295" ht="15" customHeight="1" s="4" customFormat="1">
      <c r="A295" s="9"/>
      <c r="B295" s="11"/>
      <c r="C295" s="11"/>
      <c r="D295" s="11"/>
      <c r="E295" s="11"/>
      <c r="F295" s="11"/>
      <c r="G295" s="14"/>
      <c r="H295" s="11"/>
      <c r="I295" s="11"/>
      <c r="J295" s="11"/>
      <c r="K295" s="11"/>
      <c r="L295" s="11"/>
      <c r="M295" s="12"/>
      <c r="N295" s="11"/>
      <c r="O295" s="13"/>
      <c r="P295" s="12"/>
      <c r="Q295" s="12"/>
      <c r="R295" s="12"/>
      <c r="S295" s="12"/>
    </row>
    <row r="296" ht="15" customHeight="1" s="4" customFormat="1">
      <c r="A296" s="9"/>
      <c r="B296" s="11"/>
      <c r="C296" s="11"/>
      <c r="D296" s="11"/>
      <c r="E296" s="11"/>
      <c r="F296" s="11"/>
      <c r="G296" s="14"/>
      <c r="H296" s="11"/>
      <c r="I296" s="11"/>
      <c r="J296" s="11"/>
      <c r="K296" s="11"/>
      <c r="L296" s="11"/>
      <c r="M296" s="12"/>
      <c r="N296" s="11"/>
      <c r="O296" s="13"/>
      <c r="P296" s="12"/>
      <c r="Q296" s="12"/>
      <c r="R296" s="12"/>
      <c r="S296" s="12"/>
    </row>
    <row r="297" ht="15" customHeight="1" s="4" customFormat="1">
      <c r="A297" s="9"/>
      <c r="B297" s="11"/>
      <c r="C297" s="11"/>
      <c r="D297" s="11"/>
      <c r="E297" s="11"/>
      <c r="F297" s="11"/>
      <c r="G297" s="14"/>
      <c r="H297" s="11"/>
      <c r="I297" s="11"/>
      <c r="J297" s="11"/>
      <c r="K297" s="11"/>
      <c r="L297" s="11"/>
      <c r="M297" s="12"/>
      <c r="N297" s="11"/>
      <c r="O297" s="13"/>
      <c r="P297" s="12"/>
      <c r="Q297" s="12"/>
      <c r="R297" s="12"/>
      <c r="S297" s="12"/>
    </row>
    <row r="298" ht="15" customHeight="1" s="4" customFormat="1">
      <c r="A298" s="9"/>
      <c r="B298" s="11"/>
      <c r="C298" s="11"/>
      <c r="D298" s="11"/>
      <c r="E298" s="11"/>
      <c r="F298" s="11"/>
      <c r="G298" s="14"/>
      <c r="H298" s="11"/>
      <c r="I298" s="11"/>
      <c r="J298" s="11"/>
      <c r="K298" s="11"/>
      <c r="L298" s="11"/>
      <c r="M298" s="12"/>
      <c r="N298" s="11"/>
      <c r="O298" s="13"/>
      <c r="P298" s="12"/>
      <c r="Q298" s="12"/>
      <c r="R298" s="12"/>
      <c r="S298" s="12"/>
    </row>
    <row r="299" ht="15" customHeight="1" s="4" customFormat="1">
      <c r="A299" s="9"/>
      <c r="B299" s="11"/>
      <c r="C299" s="11"/>
      <c r="D299" s="11"/>
      <c r="E299" s="11"/>
      <c r="F299" s="11"/>
      <c r="G299" s="14"/>
      <c r="H299" s="11"/>
      <c r="I299" s="11"/>
      <c r="J299" s="11"/>
      <c r="K299" s="11"/>
      <c r="L299" s="11"/>
      <c r="M299" s="12"/>
      <c r="N299" s="11"/>
      <c r="O299" s="13"/>
      <c r="P299" s="12"/>
      <c r="Q299" s="12"/>
      <c r="R299" s="12"/>
      <c r="S299" s="12"/>
    </row>
    <row r="300" ht="15" customHeight="1" s="4" customFormat="1">
      <c r="A300" s="9"/>
      <c r="B300" s="11"/>
      <c r="C300" s="11"/>
      <c r="D300" s="11"/>
      <c r="E300" s="11"/>
      <c r="F300" s="11"/>
      <c r="G300" s="14"/>
      <c r="H300" s="11"/>
      <c r="I300" s="11"/>
      <c r="J300" s="11"/>
      <c r="K300" s="11"/>
      <c r="L300" s="11"/>
      <c r="M300" s="12"/>
      <c r="N300" s="11"/>
      <c r="O300" s="13"/>
      <c r="P300" s="12"/>
      <c r="Q300" s="12"/>
      <c r="R300" s="12"/>
      <c r="S300" s="12"/>
    </row>
    <row r="301" ht="15" customHeight="1" s="4" customFormat="1">
      <c r="A301" s="9"/>
      <c r="B301" s="11"/>
      <c r="C301" s="11"/>
      <c r="D301" s="11"/>
      <c r="E301" s="11"/>
      <c r="F301" s="11"/>
      <c r="G301" s="14"/>
      <c r="H301" s="11"/>
      <c r="I301" s="11"/>
      <c r="J301" s="11"/>
      <c r="K301" s="11"/>
      <c r="L301" s="11"/>
      <c r="M301" s="12"/>
      <c r="N301" s="11"/>
      <c r="O301" s="13"/>
      <c r="P301" s="12"/>
      <c r="Q301" s="12"/>
      <c r="R301" s="12"/>
      <c r="S301" s="12"/>
    </row>
    <row r="302" ht="15" customHeight="1" s="4" customFormat="1">
      <c r="A302" s="9"/>
      <c r="B302" s="11"/>
      <c r="C302" s="11"/>
      <c r="D302" s="11"/>
      <c r="E302" s="11"/>
      <c r="F302" s="11"/>
      <c r="G302" s="14"/>
      <c r="H302" s="11"/>
      <c r="I302" s="11"/>
      <c r="J302" s="11"/>
      <c r="K302" s="11"/>
      <c r="L302" s="11"/>
      <c r="M302" s="12"/>
      <c r="N302" s="11"/>
      <c r="O302" s="13"/>
      <c r="P302" s="12"/>
      <c r="Q302" s="12"/>
      <c r="R302" s="12"/>
      <c r="S302" s="12"/>
    </row>
    <row r="303" ht="15" customHeight="1" s="4" customFormat="1">
      <c r="A303" s="9"/>
      <c r="B303" s="11"/>
      <c r="C303" s="11"/>
      <c r="D303" s="11"/>
      <c r="E303" s="11"/>
      <c r="F303" s="11"/>
      <c r="G303" s="14"/>
      <c r="H303" s="11"/>
      <c r="I303" s="11"/>
      <c r="J303" s="11"/>
      <c r="K303" s="11"/>
      <c r="L303" s="11"/>
      <c r="M303" s="12"/>
      <c r="N303" s="11"/>
      <c r="O303" s="13"/>
      <c r="P303" s="12"/>
      <c r="Q303" s="12"/>
      <c r="R303" s="12"/>
      <c r="S303" s="12"/>
    </row>
    <row r="304" ht="15" customHeight="1" s="4" customFormat="1">
      <c r="A304" s="9"/>
      <c r="B304" s="11"/>
      <c r="C304" s="11"/>
      <c r="D304" s="11"/>
      <c r="E304" s="11"/>
      <c r="F304" s="11"/>
      <c r="G304" s="14"/>
      <c r="H304" s="11"/>
      <c r="I304" s="11"/>
      <c r="J304" s="11"/>
      <c r="K304" s="11"/>
      <c r="L304" s="11"/>
      <c r="M304" s="12"/>
      <c r="N304" s="11"/>
      <c r="O304" s="13"/>
      <c r="P304" s="12"/>
      <c r="Q304" s="12"/>
      <c r="R304" s="12"/>
      <c r="S304" s="12"/>
    </row>
    <row r="305" ht="15" customHeight="1" s="4" customFormat="1">
      <c r="A305" s="9"/>
      <c r="B305" s="11"/>
      <c r="C305" s="11"/>
      <c r="D305" s="11"/>
      <c r="E305" s="11"/>
      <c r="F305" s="11"/>
      <c r="G305" s="14"/>
      <c r="H305" s="11"/>
      <c r="I305" s="11"/>
      <c r="J305" s="11"/>
      <c r="K305" s="11"/>
      <c r="L305" s="11"/>
      <c r="M305" s="12"/>
      <c r="N305" s="11"/>
      <c r="O305" s="13"/>
      <c r="P305" s="12"/>
      <c r="Q305" s="12"/>
      <c r="R305" s="12"/>
      <c r="S305" s="12"/>
    </row>
    <row r="306" ht="15" customHeight="1" s="4" customFormat="1">
      <c r="A306" s="9"/>
      <c r="B306" s="11"/>
      <c r="C306" s="11"/>
      <c r="D306" s="11"/>
      <c r="E306" s="11"/>
      <c r="F306" s="11"/>
      <c r="G306" s="14"/>
      <c r="H306" s="11"/>
      <c r="I306" s="11"/>
      <c r="J306" s="11"/>
      <c r="K306" s="11"/>
      <c r="L306" s="11"/>
      <c r="M306" s="12"/>
      <c r="N306" s="11"/>
      <c r="O306" s="13"/>
      <c r="P306" s="12"/>
      <c r="Q306" s="12"/>
      <c r="R306" s="12"/>
      <c r="S306" s="12"/>
    </row>
    <row r="307" ht="15" customHeight="1" s="4" customFormat="1">
      <c r="A307" s="9"/>
      <c r="B307" s="11"/>
      <c r="C307" s="11"/>
      <c r="D307" s="11"/>
      <c r="E307" s="11"/>
      <c r="F307" s="11"/>
      <c r="G307" s="14"/>
      <c r="H307" s="11"/>
      <c r="I307" s="11"/>
      <c r="J307" s="11"/>
      <c r="K307" s="11"/>
      <c r="L307" s="11"/>
      <c r="M307" s="12"/>
      <c r="N307" s="11"/>
      <c r="O307" s="13"/>
      <c r="P307" s="12"/>
      <c r="Q307" s="12"/>
      <c r="R307" s="12"/>
      <c r="S307" s="12"/>
    </row>
    <row r="308" ht="15" customHeight="1" s="4" customFormat="1">
      <c r="A308" s="9"/>
      <c r="B308" s="11"/>
      <c r="C308" s="11"/>
      <c r="D308" s="11"/>
      <c r="E308" s="11"/>
      <c r="F308" s="11"/>
      <c r="G308" s="14"/>
      <c r="H308" s="11"/>
      <c r="I308" s="11"/>
      <c r="J308" s="11"/>
      <c r="K308" s="11"/>
      <c r="L308" s="11"/>
      <c r="M308" s="12"/>
      <c r="N308" s="11"/>
      <c r="O308" s="13"/>
      <c r="P308" s="12"/>
      <c r="Q308" s="12"/>
      <c r="R308" s="12"/>
      <c r="S308" s="12"/>
    </row>
    <row r="309" ht="15" customHeight="1" s="4" customFormat="1">
      <c r="A309" s="9"/>
      <c r="B309" s="11"/>
      <c r="C309" s="11"/>
      <c r="D309" s="11"/>
      <c r="E309" s="11"/>
      <c r="F309" s="11"/>
      <c r="G309" s="14"/>
      <c r="H309" s="11"/>
      <c r="I309" s="11"/>
      <c r="J309" s="11"/>
      <c r="K309" s="11"/>
      <c r="L309" s="11"/>
      <c r="M309" s="12"/>
      <c r="N309" s="11"/>
      <c r="O309" s="13"/>
      <c r="P309" s="12"/>
      <c r="Q309" s="12"/>
      <c r="R309" s="12"/>
      <c r="S309" s="12"/>
    </row>
    <row r="310" ht="15" customHeight="1" s="4" customFormat="1">
      <c r="A310" s="9"/>
      <c r="B310" s="11"/>
      <c r="C310" s="11"/>
      <c r="D310" s="11"/>
      <c r="E310" s="11"/>
      <c r="F310" s="11"/>
      <c r="G310" s="14"/>
      <c r="H310" s="11"/>
      <c r="I310" s="11"/>
      <c r="J310" s="11"/>
      <c r="K310" s="11"/>
      <c r="L310" s="11"/>
      <c r="M310" s="12"/>
      <c r="N310" s="11"/>
      <c r="O310" s="13"/>
      <c r="P310" s="12"/>
      <c r="Q310" s="12"/>
      <c r="R310" s="12"/>
      <c r="S310" s="12"/>
    </row>
    <row r="311" ht="15" customHeight="1" s="4" customFormat="1">
      <c r="A311" s="9"/>
      <c r="B311" s="11"/>
      <c r="C311" s="11"/>
      <c r="D311" s="11"/>
      <c r="E311" s="11"/>
      <c r="F311" s="11"/>
      <c r="G311" s="14"/>
      <c r="H311" s="11"/>
      <c r="I311" s="11"/>
      <c r="J311" s="11"/>
      <c r="K311" s="11"/>
      <c r="L311" s="11"/>
      <c r="M311" s="12"/>
      <c r="N311" s="11"/>
      <c r="O311" s="13"/>
      <c r="P311" s="12"/>
      <c r="Q311" s="12"/>
      <c r="R311" s="12"/>
      <c r="S311" s="12"/>
    </row>
    <row r="312" ht="15" customHeight="1" s="4" customFormat="1">
      <c r="A312" s="9"/>
      <c r="B312" s="11"/>
      <c r="C312" s="11"/>
      <c r="D312" s="11"/>
      <c r="E312" s="11"/>
      <c r="F312" s="11"/>
      <c r="G312" s="14"/>
      <c r="H312" s="11"/>
      <c r="I312" s="11"/>
      <c r="J312" s="11"/>
      <c r="K312" s="11"/>
      <c r="L312" s="11"/>
      <c r="M312" s="12"/>
      <c r="N312" s="11"/>
      <c r="O312" s="13"/>
      <c r="P312" s="12"/>
      <c r="Q312" s="12"/>
      <c r="R312" s="12"/>
      <c r="S312" s="12"/>
    </row>
    <row r="313" ht="15" customHeight="1" s="4" customFormat="1">
      <c r="A313" s="9"/>
      <c r="B313" s="11"/>
      <c r="C313" s="11"/>
      <c r="D313" s="11"/>
      <c r="E313" s="11"/>
      <c r="F313" s="11"/>
      <c r="G313" s="14"/>
      <c r="H313" s="11"/>
      <c r="I313" s="11"/>
      <c r="J313" s="11"/>
      <c r="K313" s="11"/>
      <c r="L313" s="11"/>
      <c r="M313" s="12"/>
      <c r="N313" s="11"/>
      <c r="O313" s="13"/>
      <c r="P313" s="12"/>
      <c r="Q313" s="12"/>
      <c r="R313" s="12"/>
      <c r="S313" s="12"/>
    </row>
    <row r="314" ht="15" customHeight="1" s="4" customFormat="1">
      <c r="A314" s="9"/>
      <c r="B314" s="11"/>
      <c r="C314" s="11"/>
      <c r="D314" s="11"/>
      <c r="E314" s="11"/>
      <c r="F314" s="11"/>
      <c r="G314" s="14"/>
      <c r="H314" s="11"/>
      <c r="I314" s="11"/>
      <c r="J314" s="11"/>
      <c r="K314" s="11"/>
      <c r="L314" s="11"/>
      <c r="M314" s="12"/>
      <c r="N314" s="11"/>
      <c r="O314" s="13"/>
      <c r="P314" s="12"/>
      <c r="Q314" s="12"/>
      <c r="R314" s="12"/>
      <c r="S314" s="12"/>
    </row>
    <row r="315" ht="15" customHeight="1" s="4" customFormat="1">
      <c r="A315" s="9"/>
      <c r="B315" s="11"/>
      <c r="C315" s="11"/>
      <c r="D315" s="11"/>
      <c r="E315" s="11"/>
      <c r="F315" s="11"/>
      <c r="G315" s="14"/>
      <c r="H315" s="11"/>
      <c r="I315" s="11"/>
      <c r="J315" s="11"/>
      <c r="K315" s="11"/>
      <c r="L315" s="11"/>
      <c r="M315" s="12"/>
      <c r="N315" s="11"/>
      <c r="O315" s="13"/>
      <c r="P315" s="12"/>
      <c r="Q315" s="12"/>
      <c r="R315" s="12"/>
      <c r="S315" s="12"/>
    </row>
    <row r="316" ht="15" customHeight="1" s="4" customFormat="1">
      <c r="A316" s="9"/>
      <c r="B316" s="11"/>
      <c r="C316" s="11"/>
      <c r="D316" s="11"/>
      <c r="E316" s="11"/>
      <c r="F316" s="11"/>
      <c r="G316" s="14"/>
      <c r="H316" s="11"/>
      <c r="I316" s="11"/>
      <c r="J316" s="11"/>
      <c r="K316" s="11"/>
      <c r="L316" s="11"/>
      <c r="M316" s="12"/>
      <c r="N316" s="11"/>
      <c r="O316" s="13"/>
      <c r="P316" s="12"/>
      <c r="Q316" s="12"/>
      <c r="R316" s="12"/>
      <c r="S316" s="12"/>
    </row>
    <row r="317" ht="15" customHeight="1" s="4" customFormat="1">
      <c r="A317" s="9"/>
      <c r="B317" s="11"/>
      <c r="C317" s="11"/>
      <c r="D317" s="11"/>
      <c r="E317" s="11"/>
      <c r="F317" s="11"/>
      <c r="G317" s="14"/>
      <c r="H317" s="11"/>
      <c r="I317" s="11"/>
      <c r="J317" s="11"/>
      <c r="K317" s="11"/>
      <c r="L317" s="11"/>
      <c r="M317" s="12"/>
      <c r="N317" s="11"/>
      <c r="O317" s="13"/>
      <c r="P317" s="12"/>
      <c r="Q317" s="12"/>
      <c r="R317" s="12"/>
      <c r="S317" s="12"/>
    </row>
    <row r="318" ht="15" customHeight="1" s="4" customFormat="1">
      <c r="A318" s="9"/>
      <c r="B318" s="11"/>
      <c r="C318" s="11"/>
      <c r="D318" s="11"/>
      <c r="E318" s="11"/>
      <c r="F318" s="11"/>
      <c r="G318" s="14"/>
      <c r="H318" s="11"/>
      <c r="I318" s="11"/>
      <c r="J318" s="11"/>
      <c r="K318" s="11"/>
      <c r="L318" s="11"/>
      <c r="M318" s="12"/>
      <c r="N318" s="11"/>
      <c r="O318" s="13"/>
      <c r="P318" s="12"/>
      <c r="Q318" s="12"/>
      <c r="R318" s="12"/>
      <c r="S318" s="12"/>
    </row>
    <row r="319" ht="15" customHeight="1" s="4" customFormat="1">
      <c r="A319" s="9"/>
      <c r="B319" s="11"/>
      <c r="C319" s="11"/>
      <c r="D319" s="11"/>
      <c r="E319" s="11"/>
      <c r="F319" s="11"/>
      <c r="G319" s="14"/>
      <c r="H319" s="11"/>
      <c r="I319" s="11"/>
      <c r="J319" s="11"/>
      <c r="K319" s="11"/>
      <c r="L319" s="11"/>
      <c r="M319" s="12"/>
      <c r="N319" s="11"/>
      <c r="O319" s="13"/>
      <c r="P319" s="12"/>
      <c r="Q319" s="12"/>
      <c r="R319" s="12"/>
      <c r="S319" s="12"/>
    </row>
    <row r="320" ht="15" customHeight="1" s="4" customFormat="1">
      <c r="A320" s="9"/>
      <c r="B320" s="11"/>
      <c r="C320" s="11"/>
      <c r="D320" s="11"/>
      <c r="E320" s="11"/>
      <c r="F320" s="11"/>
      <c r="G320" s="14"/>
      <c r="H320" s="11"/>
      <c r="I320" s="11"/>
      <c r="J320" s="11"/>
      <c r="K320" s="11"/>
      <c r="L320" s="11"/>
      <c r="M320" s="12"/>
      <c r="N320" s="11"/>
      <c r="O320" s="13"/>
      <c r="P320" s="12"/>
      <c r="Q320" s="12"/>
      <c r="R320" s="12"/>
      <c r="S320" s="12"/>
    </row>
    <row r="321" ht="15" customHeight="1" s="4" customFormat="1">
      <c r="A321" s="9"/>
      <c r="B321" s="11"/>
      <c r="C321" s="11"/>
      <c r="D321" s="11"/>
      <c r="E321" s="11"/>
      <c r="F321" s="11"/>
      <c r="G321" s="14"/>
      <c r="H321" s="11"/>
      <c r="I321" s="11"/>
      <c r="J321" s="11"/>
      <c r="K321" s="11"/>
      <c r="L321" s="11"/>
      <c r="M321" s="12"/>
      <c r="N321" s="11"/>
      <c r="O321" s="13"/>
      <c r="P321" s="12"/>
      <c r="Q321" s="12"/>
      <c r="R321" s="12"/>
      <c r="S321" s="12"/>
    </row>
    <row r="322" ht="15" customHeight="1" s="4" customFormat="1">
      <c r="A322" s="9"/>
      <c r="B322" s="11"/>
      <c r="C322" s="11"/>
      <c r="D322" s="11"/>
      <c r="E322" s="11"/>
      <c r="F322" s="11"/>
      <c r="G322" s="14"/>
      <c r="H322" s="11"/>
      <c r="I322" s="11"/>
      <c r="J322" s="11"/>
      <c r="K322" s="11"/>
      <c r="L322" s="11"/>
      <c r="M322" s="12"/>
      <c r="N322" s="11"/>
      <c r="O322" s="13"/>
      <c r="P322" s="12"/>
      <c r="Q322" s="12"/>
      <c r="R322" s="12"/>
      <c r="S322" s="12"/>
    </row>
    <row r="323" ht="15" customHeight="1" s="4" customFormat="1">
      <c r="A323" s="9"/>
      <c r="B323" s="11"/>
      <c r="C323" s="11"/>
      <c r="D323" s="11"/>
      <c r="E323" s="11"/>
      <c r="F323" s="11"/>
      <c r="G323" s="14"/>
      <c r="H323" s="11"/>
      <c r="I323" s="11"/>
      <c r="J323" s="11"/>
      <c r="K323" s="11"/>
      <c r="L323" s="11"/>
      <c r="M323" s="12"/>
      <c r="N323" s="11"/>
      <c r="O323" s="13"/>
      <c r="P323" s="12"/>
      <c r="Q323" s="12"/>
      <c r="R323" s="12"/>
      <c r="S323" s="12"/>
    </row>
    <row r="324" ht="15" customHeight="1" s="4" customFormat="1">
      <c r="A324" s="9"/>
      <c r="B324" s="11"/>
      <c r="C324" s="11"/>
      <c r="D324" s="11"/>
      <c r="E324" s="11"/>
      <c r="F324" s="11"/>
      <c r="G324" s="14"/>
      <c r="H324" s="11"/>
      <c r="I324" s="11"/>
      <c r="J324" s="11"/>
      <c r="K324" s="11"/>
      <c r="L324" s="11"/>
      <c r="M324" s="12"/>
      <c r="N324" s="11"/>
      <c r="O324" s="13"/>
      <c r="P324" s="12"/>
      <c r="Q324" s="12"/>
      <c r="R324" s="12"/>
      <c r="S324" s="12"/>
    </row>
    <row r="325" ht="15" customHeight="1" s="4" customFormat="1">
      <c r="A325" s="9"/>
      <c r="B325" s="11"/>
      <c r="C325" s="11"/>
      <c r="D325" s="11"/>
      <c r="E325" s="11"/>
      <c r="F325" s="11"/>
      <c r="G325" s="14"/>
      <c r="H325" s="11"/>
      <c r="I325" s="11"/>
      <c r="J325" s="11"/>
      <c r="K325" s="11"/>
      <c r="L325" s="11"/>
      <c r="M325" s="12"/>
      <c r="N325" s="11"/>
      <c r="O325" s="13"/>
      <c r="P325" s="12"/>
      <c r="Q325" s="12"/>
      <c r="R325" s="12"/>
      <c r="S325" s="12"/>
    </row>
    <row r="326" ht="15" customHeight="1" s="4" customFormat="1">
      <c r="A326" s="9"/>
      <c r="B326" s="11"/>
      <c r="C326" s="11"/>
      <c r="D326" s="11"/>
      <c r="E326" s="11"/>
      <c r="F326" s="11"/>
      <c r="G326" s="14"/>
      <c r="H326" s="11"/>
      <c r="I326" s="11"/>
      <c r="J326" s="11"/>
      <c r="K326" s="11"/>
      <c r="L326" s="11"/>
      <c r="M326" s="12"/>
      <c r="N326" s="11"/>
      <c r="O326" s="13"/>
      <c r="P326" s="12"/>
      <c r="Q326" s="12"/>
      <c r="R326" s="12"/>
      <c r="S326" s="12"/>
    </row>
    <row r="327" ht="15" customHeight="1" s="4" customFormat="1">
      <c r="A327" s="9"/>
      <c r="B327" s="11"/>
      <c r="C327" s="11"/>
      <c r="D327" s="11"/>
      <c r="E327" s="11"/>
      <c r="F327" s="11"/>
      <c r="G327" s="14"/>
      <c r="H327" s="11"/>
      <c r="I327" s="11"/>
      <c r="J327" s="11"/>
      <c r="K327" s="11"/>
      <c r="L327" s="11"/>
      <c r="M327" s="12"/>
      <c r="N327" s="11"/>
      <c r="O327" s="13"/>
      <c r="P327" s="12"/>
      <c r="Q327" s="12"/>
      <c r="R327" s="12"/>
      <c r="S327" s="12"/>
    </row>
    <row r="328" ht="15" customHeight="1" s="4" customFormat="1">
      <c r="A328" s="9"/>
      <c r="B328" s="11"/>
      <c r="C328" s="11"/>
      <c r="D328" s="11"/>
      <c r="E328" s="11"/>
      <c r="F328" s="11"/>
      <c r="G328" s="14"/>
      <c r="H328" s="11"/>
      <c r="I328" s="11"/>
      <c r="J328" s="11"/>
      <c r="K328" s="11"/>
      <c r="L328" s="11"/>
      <c r="M328" s="12"/>
      <c r="N328" s="11"/>
      <c r="O328" s="13"/>
      <c r="P328" s="12"/>
      <c r="Q328" s="12"/>
      <c r="R328" s="12"/>
      <c r="S328" s="12"/>
    </row>
    <row r="329" ht="15" customHeight="1" s="4" customFormat="1">
      <c r="A329" s="9"/>
      <c r="B329" s="11"/>
      <c r="C329" s="11"/>
      <c r="D329" s="11"/>
      <c r="E329" s="11"/>
      <c r="F329" s="11"/>
      <c r="G329" s="14"/>
      <c r="H329" s="11"/>
      <c r="I329" s="11"/>
      <c r="J329" s="11"/>
      <c r="K329" s="11"/>
      <c r="L329" s="11"/>
      <c r="M329" s="12"/>
      <c r="N329" s="11"/>
      <c r="O329" s="13"/>
      <c r="P329" s="12"/>
      <c r="Q329" s="12"/>
      <c r="R329" s="12"/>
      <c r="S329" s="12"/>
    </row>
    <row r="330" ht="15" customHeight="1" s="4" customFormat="1">
      <c r="A330" s="9"/>
      <c r="B330" s="11"/>
      <c r="C330" s="11"/>
      <c r="D330" s="11"/>
      <c r="E330" s="11"/>
      <c r="F330" s="11"/>
      <c r="G330" s="14"/>
      <c r="H330" s="11"/>
      <c r="I330" s="11"/>
      <c r="J330" s="11"/>
      <c r="K330" s="11"/>
      <c r="L330" s="11"/>
      <c r="M330" s="12"/>
      <c r="N330" s="11"/>
      <c r="O330" s="13"/>
      <c r="P330" s="12"/>
      <c r="Q330" s="12"/>
      <c r="R330" s="12"/>
      <c r="S330" s="12"/>
    </row>
    <row r="331" ht="15" customHeight="1" s="4" customFormat="1">
      <c r="A331" s="9"/>
      <c r="B331" s="11"/>
      <c r="C331" s="11"/>
      <c r="D331" s="11"/>
      <c r="E331" s="11"/>
      <c r="F331" s="11"/>
      <c r="G331" s="14"/>
      <c r="H331" s="11"/>
      <c r="I331" s="11"/>
      <c r="J331" s="11"/>
      <c r="K331" s="11"/>
      <c r="L331" s="11"/>
      <c r="M331" s="12"/>
      <c r="N331" s="11"/>
      <c r="O331" s="13"/>
      <c r="P331" s="12"/>
      <c r="Q331" s="12"/>
      <c r="R331" s="12"/>
      <c r="S331" s="12"/>
    </row>
    <row r="332" ht="15" customHeight="1" s="4" customFormat="1">
      <c r="A332" s="9"/>
      <c r="B332" s="11"/>
      <c r="C332" s="11"/>
      <c r="D332" s="11"/>
      <c r="E332" s="11"/>
      <c r="F332" s="11"/>
      <c r="G332" s="14"/>
      <c r="H332" s="11"/>
      <c r="I332" s="11"/>
      <c r="J332" s="11"/>
      <c r="K332" s="11"/>
      <c r="L332" s="11"/>
      <c r="M332" s="12"/>
      <c r="N332" s="11"/>
      <c r="O332" s="13"/>
      <c r="P332" s="12"/>
      <c r="Q332" s="12"/>
      <c r="R332" s="12"/>
      <c r="S332" s="12"/>
    </row>
    <row r="333" ht="15" customHeight="1" s="4" customFormat="1">
      <c r="A333" s="9"/>
      <c r="B333" s="11"/>
      <c r="C333" s="11"/>
      <c r="D333" s="11"/>
      <c r="E333" s="11"/>
      <c r="F333" s="11"/>
      <c r="G333" s="14"/>
      <c r="H333" s="11"/>
      <c r="I333" s="11"/>
      <c r="J333" s="11"/>
      <c r="K333" s="11"/>
      <c r="L333" s="11"/>
      <c r="M333" s="12"/>
      <c r="N333" s="11"/>
      <c r="O333" s="13"/>
      <c r="P333" s="12"/>
      <c r="Q333" s="12"/>
      <c r="R333" s="12"/>
      <c r="S333" s="12"/>
    </row>
    <row r="334" ht="15" customHeight="1" s="4" customFormat="1">
      <c r="A334" s="9"/>
      <c r="B334" s="11"/>
      <c r="C334" s="11"/>
      <c r="D334" s="11"/>
      <c r="E334" s="11"/>
      <c r="F334" s="11"/>
      <c r="G334" s="14"/>
      <c r="H334" s="11"/>
      <c r="I334" s="11"/>
      <c r="J334" s="11"/>
      <c r="K334" s="11"/>
      <c r="L334" s="11"/>
      <c r="M334" s="12"/>
      <c r="N334" s="11"/>
      <c r="O334" s="13"/>
      <c r="P334" s="12"/>
      <c r="Q334" s="12"/>
      <c r="R334" s="12"/>
      <c r="S334" s="12"/>
    </row>
    <row r="335" ht="15" customHeight="1" s="4" customFormat="1">
      <c r="A335" s="9"/>
      <c r="B335" s="11"/>
      <c r="C335" s="11"/>
      <c r="D335" s="11"/>
      <c r="E335" s="11"/>
      <c r="F335" s="11"/>
      <c r="G335" s="14"/>
      <c r="H335" s="11"/>
      <c r="I335" s="11"/>
      <c r="J335" s="11"/>
      <c r="K335" s="11"/>
      <c r="L335" s="11"/>
      <c r="M335" s="12"/>
      <c r="N335" s="11"/>
      <c r="O335" s="13"/>
      <c r="P335" s="12"/>
      <c r="Q335" s="12"/>
      <c r="R335" s="12"/>
      <c r="S335" s="12"/>
    </row>
    <row r="336" ht="15" customHeight="1" s="4" customFormat="1">
      <c r="A336" s="9"/>
      <c r="B336" s="11"/>
      <c r="C336" s="11"/>
      <c r="D336" s="11"/>
      <c r="E336" s="11"/>
      <c r="F336" s="11"/>
      <c r="G336" s="14"/>
      <c r="H336" s="11"/>
      <c r="I336" s="11"/>
      <c r="J336" s="11"/>
      <c r="K336" s="11"/>
      <c r="L336" s="11"/>
      <c r="M336" s="12"/>
      <c r="N336" s="11"/>
      <c r="O336" s="13"/>
      <c r="P336" s="12"/>
      <c r="Q336" s="12"/>
      <c r="R336" s="12"/>
      <c r="S336" s="12"/>
    </row>
    <row r="337" ht="15" customHeight="1" s="4" customFormat="1">
      <c r="A337" s="9"/>
      <c r="B337" s="11"/>
      <c r="C337" s="11"/>
      <c r="D337" s="11"/>
      <c r="E337" s="11"/>
      <c r="F337" s="11"/>
      <c r="G337" s="14"/>
      <c r="H337" s="11"/>
      <c r="I337" s="11"/>
      <c r="J337" s="11"/>
      <c r="K337" s="11"/>
      <c r="L337" s="11"/>
      <c r="M337" s="12"/>
      <c r="N337" s="11"/>
      <c r="O337" s="13"/>
      <c r="P337" s="12"/>
      <c r="Q337" s="12"/>
      <c r="R337" s="12"/>
      <c r="S337" s="12"/>
    </row>
    <row r="338" ht="15" customHeight="1" s="4" customFormat="1">
      <c r="A338" s="9"/>
      <c r="B338" s="11"/>
      <c r="C338" s="11"/>
      <c r="D338" s="11"/>
      <c r="E338" s="11"/>
      <c r="F338" s="11"/>
      <c r="G338" s="14"/>
      <c r="H338" s="11"/>
      <c r="I338" s="11"/>
      <c r="J338" s="11"/>
      <c r="K338" s="11"/>
      <c r="L338" s="11"/>
      <c r="M338" s="12"/>
      <c r="N338" s="11"/>
      <c r="O338" s="13"/>
      <c r="P338" s="12"/>
      <c r="Q338" s="12"/>
      <c r="R338" s="12"/>
      <c r="S338" s="12"/>
    </row>
    <row r="339" ht="15" customHeight="1" s="4" customFormat="1">
      <c r="A339" s="9"/>
      <c r="B339" s="11"/>
      <c r="C339" s="11"/>
      <c r="D339" s="11"/>
      <c r="E339" s="11"/>
      <c r="F339" s="11"/>
      <c r="G339" s="14"/>
      <c r="H339" s="11"/>
      <c r="I339" s="11"/>
      <c r="J339" s="11"/>
      <c r="K339" s="11"/>
      <c r="L339" s="11"/>
      <c r="M339" s="12"/>
      <c r="N339" s="11"/>
      <c r="O339" s="13"/>
      <c r="P339" s="12"/>
      <c r="Q339" s="12"/>
      <c r="R339" s="12"/>
      <c r="S339" s="12"/>
    </row>
    <row r="340" ht="15" customHeight="1" s="4" customFormat="1">
      <c r="A340" s="9"/>
      <c r="B340" s="11"/>
      <c r="C340" s="11"/>
      <c r="D340" s="11"/>
      <c r="E340" s="11"/>
      <c r="F340" s="11"/>
      <c r="G340" s="14"/>
      <c r="H340" s="11"/>
      <c r="I340" s="11"/>
      <c r="J340" s="11"/>
      <c r="K340" s="11"/>
      <c r="L340" s="11"/>
      <c r="M340" s="12"/>
      <c r="N340" s="11"/>
      <c r="O340" s="13"/>
      <c r="P340" s="12"/>
      <c r="Q340" s="12"/>
      <c r="R340" s="12"/>
      <c r="S340" s="12"/>
    </row>
    <row r="341" ht="15" customHeight="1" s="4" customFormat="1">
      <c r="A341" s="9"/>
      <c r="B341" s="11"/>
      <c r="C341" s="11"/>
      <c r="D341" s="11"/>
      <c r="E341" s="11"/>
      <c r="F341" s="11"/>
      <c r="G341" s="14"/>
      <c r="H341" s="11"/>
      <c r="I341" s="11"/>
      <c r="J341" s="11"/>
      <c r="K341" s="11"/>
      <c r="L341" s="11"/>
      <c r="M341" s="12"/>
      <c r="N341" s="11"/>
      <c r="O341" s="13"/>
      <c r="P341" s="12"/>
      <c r="Q341" s="12"/>
      <c r="R341" s="12"/>
      <c r="S341" s="12"/>
    </row>
    <row r="342" ht="15" customHeight="1" s="4" customFormat="1">
      <c r="A342" s="9"/>
      <c r="B342" s="11"/>
      <c r="C342" s="11"/>
      <c r="D342" s="11"/>
      <c r="E342" s="11"/>
      <c r="F342" s="11"/>
      <c r="G342" s="14"/>
      <c r="H342" s="11"/>
      <c r="I342" s="11"/>
      <c r="J342" s="11"/>
      <c r="K342" s="11"/>
      <c r="L342" s="11"/>
      <c r="M342" s="12"/>
      <c r="N342" s="11"/>
      <c r="O342" s="13"/>
      <c r="P342" s="12"/>
      <c r="Q342" s="12"/>
      <c r="R342" s="12"/>
      <c r="S342" s="12"/>
    </row>
    <row r="343" ht="15" customHeight="1" s="4" customFormat="1">
      <c r="A343" s="9"/>
      <c r="B343" s="11"/>
      <c r="C343" s="11"/>
      <c r="D343" s="11"/>
      <c r="E343" s="11"/>
      <c r="F343" s="11"/>
      <c r="G343" s="14"/>
      <c r="H343" s="11"/>
      <c r="I343" s="11"/>
      <c r="J343" s="11"/>
      <c r="K343" s="11"/>
      <c r="L343" s="11"/>
      <c r="M343" s="12"/>
      <c r="N343" s="11"/>
      <c r="O343" s="13"/>
      <c r="P343" s="12"/>
      <c r="Q343" s="12"/>
      <c r="R343" s="12"/>
      <c r="S343" s="12"/>
    </row>
    <row r="344" ht="15" customHeight="1" s="4" customFormat="1">
      <c r="A344" s="9"/>
      <c r="B344" s="11"/>
      <c r="C344" s="11"/>
      <c r="D344" s="11"/>
      <c r="E344" s="11"/>
      <c r="F344" s="11"/>
      <c r="G344" s="14"/>
      <c r="H344" s="11"/>
      <c r="I344" s="11"/>
      <c r="J344" s="11"/>
      <c r="K344" s="11"/>
      <c r="L344" s="11"/>
      <c r="M344" s="12"/>
      <c r="N344" s="11"/>
      <c r="O344" s="13"/>
      <c r="P344" s="12"/>
      <c r="Q344" s="12"/>
      <c r="R344" s="12"/>
      <c r="S344" s="12"/>
    </row>
    <row r="345" ht="15" customHeight="1" s="4" customFormat="1">
      <c r="A345" s="9"/>
      <c r="B345" s="11"/>
      <c r="C345" s="11"/>
      <c r="D345" s="11"/>
      <c r="E345" s="11"/>
      <c r="F345" s="11"/>
      <c r="G345" s="14"/>
      <c r="H345" s="11"/>
      <c r="I345" s="11"/>
      <c r="J345" s="11"/>
      <c r="K345" s="11"/>
      <c r="L345" s="11"/>
      <c r="M345" s="12"/>
      <c r="N345" s="11"/>
      <c r="O345" s="13"/>
      <c r="P345" s="12"/>
      <c r="Q345" s="12"/>
      <c r="R345" s="12"/>
      <c r="S345" s="12"/>
    </row>
    <row r="346" ht="15" customHeight="1" s="4" customFormat="1">
      <c r="A346" s="9"/>
      <c r="B346" s="11"/>
      <c r="C346" s="11"/>
      <c r="D346" s="11"/>
      <c r="E346" s="11"/>
      <c r="F346" s="11"/>
      <c r="G346" s="14"/>
      <c r="H346" s="11"/>
      <c r="I346" s="11"/>
      <c r="J346" s="11"/>
      <c r="K346" s="11"/>
      <c r="L346" s="11"/>
      <c r="M346" s="12"/>
      <c r="N346" s="11"/>
      <c r="O346" s="13"/>
      <c r="P346" s="12"/>
      <c r="Q346" s="12"/>
      <c r="R346" s="12"/>
      <c r="S346" s="12"/>
    </row>
    <row r="347" ht="15" customHeight="1" s="4" customFormat="1">
      <c r="A347" s="9"/>
      <c r="B347" s="11"/>
      <c r="C347" s="11"/>
      <c r="D347" s="11"/>
      <c r="E347" s="11"/>
      <c r="F347" s="11"/>
      <c r="G347" s="14"/>
      <c r="H347" s="11"/>
      <c r="I347" s="11"/>
      <c r="J347" s="11"/>
      <c r="K347" s="11"/>
      <c r="L347" s="11"/>
      <c r="M347" s="12"/>
      <c r="N347" s="11"/>
      <c r="O347" s="13"/>
      <c r="P347" s="12"/>
      <c r="Q347" s="12"/>
      <c r="R347" s="12"/>
      <c r="S347" s="12"/>
    </row>
    <row r="348" ht="15" customHeight="1" s="4" customFormat="1">
      <c r="A348" s="9"/>
      <c r="B348" s="11"/>
      <c r="C348" s="11"/>
      <c r="D348" s="11"/>
      <c r="E348" s="11"/>
      <c r="F348" s="11"/>
      <c r="G348" s="14"/>
      <c r="H348" s="11"/>
      <c r="I348" s="11"/>
      <c r="J348" s="11"/>
      <c r="K348" s="11"/>
      <c r="L348" s="11"/>
      <c r="M348" s="12"/>
      <c r="N348" s="11"/>
      <c r="O348" s="13"/>
      <c r="P348" s="12"/>
      <c r="Q348" s="12"/>
      <c r="R348" s="12"/>
      <c r="S348" s="12"/>
    </row>
    <row r="349" ht="15" customHeight="1" s="4" customFormat="1">
      <c r="A349" s="9"/>
      <c r="B349" s="11"/>
      <c r="C349" s="11"/>
      <c r="D349" s="11"/>
      <c r="E349" s="11"/>
      <c r="F349" s="11"/>
      <c r="G349" s="14"/>
      <c r="H349" s="11"/>
      <c r="I349" s="11"/>
      <c r="J349" s="11"/>
      <c r="K349" s="11"/>
      <c r="L349" s="11"/>
      <c r="M349" s="12"/>
      <c r="N349" s="11"/>
      <c r="O349" s="13"/>
      <c r="P349" s="12"/>
      <c r="Q349" s="12"/>
      <c r="R349" s="12"/>
      <c r="S349" s="12"/>
    </row>
    <row r="350" ht="15" customHeight="1" s="4" customFormat="1">
      <c r="A350" s="9"/>
      <c r="B350" s="11"/>
      <c r="C350" s="11"/>
      <c r="D350" s="11"/>
      <c r="E350" s="11"/>
      <c r="F350" s="11"/>
      <c r="G350" s="14"/>
      <c r="H350" s="11"/>
      <c r="I350" s="11"/>
      <c r="J350" s="11"/>
      <c r="K350" s="11"/>
      <c r="L350" s="11"/>
      <c r="M350" s="12"/>
      <c r="N350" s="11"/>
      <c r="O350" s="13"/>
      <c r="P350" s="12"/>
      <c r="Q350" s="12"/>
      <c r="R350" s="12"/>
      <c r="S350" s="12"/>
    </row>
    <row r="351" ht="15" customHeight="1" s="4" customFormat="1">
      <c r="A351" s="9"/>
      <c r="B351" s="11"/>
      <c r="C351" s="11"/>
      <c r="D351" s="11"/>
      <c r="E351" s="11"/>
      <c r="F351" s="11"/>
      <c r="G351" s="14"/>
      <c r="H351" s="11"/>
      <c r="I351" s="11"/>
      <c r="J351" s="11"/>
      <c r="K351" s="11"/>
      <c r="L351" s="11"/>
      <c r="M351" s="12"/>
      <c r="N351" s="11"/>
      <c r="O351" s="13"/>
      <c r="P351" s="12"/>
      <c r="Q351" s="12"/>
      <c r="R351" s="12"/>
      <c r="S351" s="12"/>
    </row>
    <row r="352" ht="15" customHeight="1" s="4" customFormat="1">
      <c r="A352" s="9"/>
      <c r="B352" s="11"/>
      <c r="C352" s="11"/>
      <c r="D352" s="11"/>
      <c r="E352" s="11"/>
      <c r="F352" s="11"/>
      <c r="G352" s="14"/>
      <c r="H352" s="11"/>
      <c r="I352" s="11"/>
      <c r="J352" s="11"/>
      <c r="K352" s="11"/>
      <c r="L352" s="11"/>
      <c r="M352" s="12"/>
      <c r="N352" s="11"/>
      <c r="O352" s="13"/>
      <c r="P352" s="12"/>
      <c r="Q352" s="12"/>
      <c r="R352" s="12"/>
      <c r="S352" s="12"/>
    </row>
    <row r="353" ht="15" customHeight="1" s="4" customFormat="1">
      <c r="A353" s="9"/>
      <c r="B353" s="11"/>
      <c r="C353" s="11"/>
      <c r="D353" s="11"/>
      <c r="E353" s="11"/>
      <c r="F353" s="11"/>
      <c r="G353" s="14"/>
      <c r="H353" s="11"/>
      <c r="I353" s="11"/>
      <c r="J353" s="11"/>
      <c r="K353" s="11"/>
      <c r="L353" s="11"/>
      <c r="M353" s="12"/>
      <c r="N353" s="11"/>
      <c r="O353" s="13"/>
      <c r="P353" s="12"/>
      <c r="Q353" s="12"/>
      <c r="R353" s="12"/>
      <c r="S353" s="12"/>
    </row>
    <row r="354" ht="15" customHeight="1" s="4" customFormat="1">
      <c r="A354" s="9"/>
      <c r="B354" s="11"/>
      <c r="C354" s="11"/>
      <c r="D354" s="11"/>
      <c r="E354" s="11"/>
      <c r="F354" s="11"/>
      <c r="G354" s="14"/>
      <c r="H354" s="11"/>
      <c r="I354" s="11"/>
      <c r="J354" s="11"/>
      <c r="K354" s="11"/>
      <c r="L354" s="11"/>
      <c r="M354" s="12"/>
      <c r="N354" s="11"/>
      <c r="O354" s="13"/>
      <c r="P354" s="12"/>
      <c r="Q354" s="12"/>
      <c r="R354" s="12"/>
      <c r="S354" s="12"/>
    </row>
    <row r="355" ht="15" customHeight="1" s="4" customFormat="1">
      <c r="A355" s="9"/>
      <c r="B355" s="11"/>
      <c r="C355" s="11"/>
      <c r="D355" s="11"/>
      <c r="E355" s="11"/>
      <c r="F355" s="11"/>
      <c r="G355" s="14"/>
      <c r="H355" s="11"/>
      <c r="I355" s="11"/>
      <c r="J355" s="11"/>
      <c r="K355" s="11"/>
      <c r="L355" s="11"/>
      <c r="M355" s="12"/>
      <c r="N355" s="11"/>
      <c r="O355" s="13"/>
      <c r="P355" s="12"/>
      <c r="Q355" s="12"/>
      <c r="R355" s="12"/>
      <c r="S355" s="12"/>
    </row>
    <row r="356" ht="15" customHeight="1" s="4" customFormat="1">
      <c r="A356" s="9"/>
      <c r="B356" s="11"/>
      <c r="C356" s="11"/>
      <c r="D356" s="11"/>
      <c r="E356" s="11"/>
      <c r="F356" s="11"/>
      <c r="G356" s="14"/>
      <c r="H356" s="11"/>
      <c r="I356" s="11"/>
      <c r="J356" s="11"/>
      <c r="K356" s="11"/>
      <c r="L356" s="11"/>
      <c r="M356" s="12"/>
      <c r="N356" s="11"/>
      <c r="O356" s="13"/>
      <c r="P356" s="12"/>
      <c r="Q356" s="12"/>
      <c r="R356" s="12"/>
      <c r="S356" s="12"/>
    </row>
    <row r="357" ht="15" customHeight="1" s="4" customFormat="1">
      <c r="A357" s="9"/>
      <c r="B357" s="11"/>
      <c r="C357" s="11"/>
      <c r="D357" s="11"/>
      <c r="E357" s="11"/>
      <c r="F357" s="11"/>
      <c r="G357" s="14"/>
      <c r="H357" s="11"/>
      <c r="I357" s="11"/>
      <c r="J357" s="11"/>
      <c r="K357" s="11"/>
      <c r="L357" s="11"/>
      <c r="M357" s="12"/>
      <c r="N357" s="11"/>
      <c r="O357" s="13"/>
      <c r="P357" s="12"/>
      <c r="Q357" s="12"/>
      <c r="R357" s="12"/>
      <c r="S357" s="12"/>
    </row>
    <row r="358" ht="15" customHeight="1" s="4" customFormat="1">
      <c r="A358" s="9"/>
      <c r="B358" s="11"/>
      <c r="C358" s="11"/>
      <c r="D358" s="11"/>
      <c r="E358" s="11"/>
      <c r="F358" s="11"/>
      <c r="G358" s="14"/>
      <c r="H358" s="11"/>
      <c r="I358" s="11"/>
      <c r="J358" s="11"/>
      <c r="K358" s="11"/>
      <c r="L358" s="11"/>
      <c r="M358" s="12"/>
      <c r="N358" s="11"/>
      <c r="O358" s="13"/>
      <c r="P358" s="12"/>
      <c r="Q358" s="12"/>
      <c r="R358" s="12"/>
      <c r="S358" s="12"/>
    </row>
    <row r="359" ht="15" customHeight="1" s="4" customFormat="1">
      <c r="A359" s="9"/>
      <c r="B359" s="11"/>
      <c r="C359" s="11"/>
      <c r="D359" s="11"/>
      <c r="E359" s="11"/>
      <c r="F359" s="11"/>
      <c r="G359" s="14"/>
      <c r="H359" s="11"/>
      <c r="I359" s="11"/>
      <c r="J359" s="11"/>
      <c r="K359" s="11"/>
      <c r="L359" s="11"/>
      <c r="M359" s="12"/>
      <c r="N359" s="11"/>
      <c r="O359" s="13"/>
      <c r="P359" s="12"/>
      <c r="Q359" s="12"/>
      <c r="R359" s="12"/>
      <c r="S359" s="12"/>
    </row>
    <row r="360" ht="15" customHeight="1" s="4" customFormat="1">
      <c r="A360" s="9"/>
      <c r="B360" s="11"/>
      <c r="C360" s="11"/>
      <c r="D360" s="11"/>
      <c r="E360" s="11"/>
      <c r="F360" s="11"/>
      <c r="G360" s="14"/>
      <c r="H360" s="11"/>
      <c r="I360" s="11"/>
      <c r="J360" s="11"/>
      <c r="K360" s="11"/>
      <c r="L360" s="11"/>
      <c r="M360" s="12"/>
      <c r="N360" s="11"/>
      <c r="O360" s="13"/>
      <c r="P360" s="12"/>
      <c r="Q360" s="12"/>
      <c r="R360" s="12"/>
      <c r="S360" s="12"/>
    </row>
    <row r="361" ht="15" customHeight="1" s="4" customFormat="1">
      <c r="A361" s="9"/>
      <c r="B361" s="11"/>
      <c r="C361" s="11"/>
      <c r="D361" s="11"/>
      <c r="E361" s="11"/>
      <c r="F361" s="11"/>
      <c r="G361" s="14"/>
      <c r="H361" s="11"/>
      <c r="I361" s="11"/>
      <c r="J361" s="11"/>
      <c r="K361" s="11"/>
      <c r="L361" s="11"/>
      <c r="M361" s="12"/>
      <c r="N361" s="11"/>
      <c r="O361" s="13"/>
      <c r="P361" s="12"/>
      <c r="Q361" s="12"/>
      <c r="R361" s="12"/>
      <c r="S361" s="12"/>
    </row>
    <row r="362" ht="15" customHeight="1" s="4" customFormat="1">
      <c r="A362" s="9"/>
      <c r="B362" s="11"/>
      <c r="C362" s="11"/>
      <c r="D362" s="11"/>
      <c r="E362" s="11"/>
      <c r="F362" s="11"/>
      <c r="G362" s="14"/>
      <c r="H362" s="11"/>
      <c r="I362" s="11"/>
      <c r="J362" s="11"/>
      <c r="K362" s="11"/>
      <c r="L362" s="11"/>
      <c r="M362" s="12"/>
      <c r="N362" s="11"/>
      <c r="O362" s="13"/>
      <c r="P362" s="12"/>
      <c r="Q362" s="12"/>
      <c r="R362" s="12"/>
      <c r="S362" s="12"/>
    </row>
    <row r="363" ht="15" customHeight="1" s="4" customFormat="1">
      <c r="A363" s="9"/>
      <c r="B363" s="11"/>
      <c r="C363" s="11"/>
      <c r="D363" s="11"/>
      <c r="E363" s="11"/>
      <c r="F363" s="11"/>
      <c r="G363" s="14"/>
      <c r="H363" s="11"/>
      <c r="I363" s="11"/>
      <c r="J363" s="11"/>
      <c r="K363" s="11"/>
      <c r="L363" s="11"/>
      <c r="M363" s="12"/>
      <c r="N363" s="11"/>
      <c r="O363" s="13"/>
      <c r="P363" s="12"/>
      <c r="Q363" s="12"/>
      <c r="R363" s="12"/>
      <c r="S363" s="12"/>
    </row>
    <row r="364" ht="15" customHeight="1" s="4" customFormat="1">
      <c r="A364" s="9"/>
      <c r="B364" s="11"/>
      <c r="C364" s="11"/>
      <c r="D364" s="11"/>
      <c r="E364" s="11"/>
      <c r="F364" s="11"/>
      <c r="G364" s="14"/>
      <c r="H364" s="11"/>
      <c r="I364" s="11"/>
      <c r="J364" s="11"/>
      <c r="K364" s="11"/>
      <c r="L364" s="11"/>
      <c r="M364" s="12"/>
      <c r="N364" s="11"/>
      <c r="O364" s="13"/>
      <c r="P364" s="12"/>
      <c r="Q364" s="12"/>
      <c r="R364" s="12"/>
      <c r="S364" s="12"/>
    </row>
    <row r="365" ht="15" customHeight="1" s="4" customFormat="1">
      <c r="A365" s="9"/>
      <c r="B365" s="11"/>
      <c r="C365" s="11"/>
      <c r="D365" s="11"/>
      <c r="E365" s="11"/>
      <c r="F365" s="11"/>
      <c r="G365" s="14"/>
      <c r="H365" s="11"/>
      <c r="I365" s="11"/>
      <c r="J365" s="11"/>
      <c r="K365" s="11"/>
      <c r="L365" s="11"/>
      <c r="M365" s="12"/>
      <c r="N365" s="11"/>
      <c r="O365" s="13"/>
      <c r="P365" s="12"/>
      <c r="Q365" s="12"/>
      <c r="R365" s="12"/>
      <c r="S365" s="12"/>
    </row>
    <row r="366" ht="15" customHeight="1" s="4" customFormat="1">
      <c r="A366" s="9"/>
      <c r="B366" s="11"/>
      <c r="C366" s="11"/>
      <c r="D366" s="11"/>
      <c r="E366" s="11"/>
      <c r="F366" s="11"/>
      <c r="G366" s="14"/>
      <c r="H366" s="11"/>
      <c r="I366" s="11"/>
      <c r="J366" s="11"/>
      <c r="K366" s="11"/>
      <c r="L366" s="11"/>
      <c r="M366" s="12"/>
      <c r="N366" s="11"/>
      <c r="O366" s="13"/>
      <c r="P366" s="12"/>
      <c r="Q366" s="12"/>
      <c r="R366" s="12"/>
      <c r="S366" s="12"/>
    </row>
    <row r="367" ht="15" customHeight="1" s="4" customFormat="1">
      <c r="A367" s="9"/>
      <c r="B367" s="11"/>
      <c r="C367" s="11"/>
      <c r="D367" s="11"/>
      <c r="E367" s="11"/>
      <c r="F367" s="11"/>
      <c r="G367" s="14"/>
      <c r="H367" s="11"/>
      <c r="I367" s="11"/>
      <c r="J367" s="11"/>
      <c r="K367" s="11"/>
      <c r="L367" s="11"/>
      <c r="M367" s="12"/>
      <c r="N367" s="11"/>
      <c r="O367" s="13"/>
      <c r="P367" s="12"/>
      <c r="Q367" s="12"/>
      <c r="R367" s="12"/>
      <c r="S367" s="12"/>
    </row>
    <row r="368" ht="15" customHeight="1" s="4" customFormat="1">
      <c r="A368" s="9"/>
      <c r="B368" s="11"/>
      <c r="C368" s="11"/>
      <c r="D368" s="11"/>
      <c r="E368" s="11"/>
      <c r="F368" s="11"/>
      <c r="G368" s="14"/>
      <c r="H368" s="11"/>
      <c r="I368" s="11"/>
      <c r="J368" s="11"/>
      <c r="K368" s="11"/>
      <c r="L368" s="11"/>
      <c r="M368" s="12"/>
      <c r="N368" s="11"/>
      <c r="O368" s="13"/>
      <c r="P368" s="12"/>
      <c r="Q368" s="12"/>
      <c r="R368" s="12"/>
      <c r="S368" s="12"/>
    </row>
    <row r="369" ht="15" customHeight="1" s="4" customFormat="1">
      <c r="A369" s="9"/>
      <c r="B369" s="11"/>
      <c r="C369" s="11"/>
      <c r="D369" s="11"/>
      <c r="E369" s="11"/>
      <c r="F369" s="11"/>
      <c r="G369" s="14"/>
      <c r="H369" s="11"/>
      <c r="I369" s="11"/>
      <c r="J369" s="11"/>
      <c r="K369" s="11"/>
      <c r="L369" s="11"/>
      <c r="M369" s="12"/>
      <c r="N369" s="11"/>
      <c r="O369" s="13"/>
      <c r="P369" s="12"/>
      <c r="Q369" s="12"/>
      <c r="R369" s="12"/>
      <c r="S369" s="12"/>
    </row>
    <row r="370" ht="15" customHeight="1" s="4" customFormat="1">
      <c r="A370" s="9"/>
      <c r="B370" s="11"/>
      <c r="C370" s="11"/>
      <c r="D370" s="11"/>
      <c r="E370" s="11"/>
      <c r="F370" s="11"/>
      <c r="G370" s="14"/>
      <c r="H370" s="11"/>
      <c r="I370" s="11"/>
      <c r="J370" s="11"/>
      <c r="K370" s="11"/>
      <c r="L370" s="11"/>
      <c r="M370" s="12"/>
      <c r="N370" s="11"/>
      <c r="O370" s="13"/>
      <c r="P370" s="12"/>
      <c r="Q370" s="12"/>
      <c r="R370" s="12"/>
      <c r="S370" s="12"/>
    </row>
    <row r="371" ht="15" customHeight="1" s="4" customFormat="1">
      <c r="A371" s="9"/>
      <c r="B371" s="11"/>
      <c r="C371" s="11"/>
      <c r="D371" s="11"/>
      <c r="E371" s="11"/>
      <c r="F371" s="11"/>
      <c r="G371" s="14"/>
      <c r="H371" s="11"/>
      <c r="I371" s="11"/>
      <c r="J371" s="11"/>
      <c r="K371" s="11"/>
      <c r="L371" s="11"/>
      <c r="M371" s="12"/>
      <c r="N371" s="11"/>
      <c r="O371" s="13"/>
      <c r="P371" s="12"/>
      <c r="Q371" s="12"/>
      <c r="R371" s="12"/>
      <c r="S371" s="12"/>
    </row>
    <row r="372" ht="15" customHeight="1" s="4" customFormat="1">
      <c r="A372" s="9"/>
      <c r="B372" s="11"/>
      <c r="C372" s="11"/>
      <c r="D372" s="11"/>
      <c r="E372" s="11"/>
      <c r="F372" s="11"/>
      <c r="G372" s="14"/>
      <c r="H372" s="11"/>
      <c r="I372" s="11"/>
      <c r="J372" s="11"/>
      <c r="K372" s="11"/>
      <c r="L372" s="11"/>
      <c r="M372" s="12"/>
      <c r="N372" s="11"/>
      <c r="O372" s="13"/>
      <c r="P372" s="12"/>
      <c r="Q372" s="12"/>
      <c r="R372" s="12"/>
      <c r="S372" s="12"/>
    </row>
    <row r="373" ht="15" customHeight="1" s="4" customFormat="1">
      <c r="A373" s="9"/>
      <c r="B373" s="11"/>
      <c r="C373" s="11"/>
      <c r="D373" s="11"/>
      <c r="E373" s="11"/>
      <c r="F373" s="11"/>
      <c r="G373" s="14"/>
      <c r="H373" s="11"/>
      <c r="I373" s="11"/>
      <c r="J373" s="11"/>
      <c r="K373" s="11"/>
      <c r="L373" s="11"/>
      <c r="M373" s="12"/>
      <c r="N373" s="11"/>
      <c r="O373" s="13"/>
      <c r="P373" s="12"/>
      <c r="Q373" s="12"/>
      <c r="R373" s="12"/>
      <c r="S373" s="12"/>
    </row>
    <row r="374" ht="15" customHeight="1" s="4" customFormat="1">
      <c r="A374" s="9"/>
      <c r="B374" s="11"/>
      <c r="C374" s="11"/>
      <c r="D374" s="11"/>
      <c r="E374" s="11"/>
      <c r="F374" s="11"/>
      <c r="G374" s="14"/>
      <c r="H374" s="11"/>
      <c r="I374" s="11"/>
      <c r="J374" s="11"/>
      <c r="K374" s="11"/>
      <c r="L374" s="11"/>
      <c r="M374" s="12"/>
      <c r="N374" s="11"/>
      <c r="O374" s="13"/>
      <c r="P374" s="12"/>
      <c r="Q374" s="12"/>
      <c r="R374" s="12"/>
      <c r="S374" s="12"/>
    </row>
    <row r="375" ht="15" customHeight="1" s="4" customFormat="1">
      <c r="A375" s="9"/>
      <c r="B375" s="11"/>
      <c r="C375" s="11"/>
      <c r="D375" s="11"/>
      <c r="E375" s="11"/>
      <c r="F375" s="11"/>
      <c r="G375" s="14"/>
      <c r="H375" s="11"/>
      <c r="I375" s="11"/>
      <c r="J375" s="11"/>
      <c r="K375" s="11"/>
      <c r="L375" s="11"/>
      <c r="M375" s="12"/>
      <c r="N375" s="11"/>
      <c r="O375" s="13"/>
      <c r="P375" s="12"/>
      <c r="Q375" s="12"/>
      <c r="R375" s="12"/>
      <c r="S375" s="12"/>
    </row>
    <row r="376" ht="15" customHeight="1" s="4" customFormat="1">
      <c r="A376" s="9"/>
      <c r="B376" s="11"/>
      <c r="C376" s="11"/>
      <c r="D376" s="11"/>
      <c r="E376" s="11"/>
      <c r="F376" s="11"/>
      <c r="G376" s="14"/>
      <c r="H376" s="11"/>
      <c r="I376" s="11"/>
      <c r="J376" s="11"/>
      <c r="K376" s="11"/>
      <c r="L376" s="11"/>
      <c r="M376" s="12"/>
      <c r="N376" s="11"/>
      <c r="O376" s="13"/>
      <c r="P376" s="12"/>
      <c r="Q376" s="12"/>
      <c r="R376" s="12"/>
      <c r="S376" s="12"/>
    </row>
    <row r="377" ht="15" customHeight="1" s="4" customFormat="1">
      <c r="A377" s="9"/>
      <c r="B377" s="11"/>
      <c r="C377" s="11"/>
      <c r="D377" s="11"/>
      <c r="E377" s="11"/>
      <c r="F377" s="11"/>
      <c r="G377" s="14"/>
      <c r="H377" s="11"/>
      <c r="I377" s="11"/>
      <c r="J377" s="11"/>
      <c r="K377" s="11"/>
      <c r="L377" s="11"/>
      <c r="M377" s="12"/>
      <c r="N377" s="11"/>
      <c r="O377" s="13"/>
      <c r="P377" s="12"/>
      <c r="Q377" s="12"/>
      <c r="R377" s="12"/>
      <c r="S377" s="12"/>
    </row>
    <row r="378" ht="15" customHeight="1" s="4" customFormat="1">
      <c r="A378" s="9"/>
      <c r="B378" s="11"/>
      <c r="C378" s="11"/>
      <c r="D378" s="11"/>
      <c r="E378" s="11"/>
      <c r="F378" s="11"/>
      <c r="G378" s="14"/>
      <c r="H378" s="11"/>
      <c r="I378" s="11"/>
      <c r="J378" s="11"/>
      <c r="K378" s="11"/>
      <c r="L378" s="11"/>
      <c r="M378" s="12"/>
      <c r="N378" s="11"/>
      <c r="O378" s="13"/>
      <c r="P378" s="12"/>
      <c r="Q378" s="12"/>
      <c r="R378" s="12"/>
      <c r="S378" s="12"/>
    </row>
    <row r="379" ht="15" customHeight="1" s="4" customFormat="1">
      <c r="A379" s="9"/>
      <c r="B379" s="11"/>
      <c r="C379" s="11"/>
      <c r="D379" s="11"/>
      <c r="E379" s="11"/>
      <c r="F379" s="11"/>
      <c r="G379" s="14"/>
      <c r="H379" s="11"/>
      <c r="I379" s="11"/>
      <c r="J379" s="11"/>
      <c r="K379" s="11"/>
      <c r="L379" s="11"/>
      <c r="M379" s="12"/>
      <c r="N379" s="11"/>
      <c r="O379" s="13"/>
      <c r="P379" s="12"/>
      <c r="Q379" s="12"/>
      <c r="R379" s="12"/>
      <c r="S379" s="12"/>
    </row>
    <row r="380" ht="15" customHeight="1" s="4" customFormat="1">
      <c r="A380" s="9"/>
      <c r="B380" s="11"/>
      <c r="C380" s="11"/>
      <c r="D380" s="11"/>
      <c r="E380" s="11"/>
      <c r="F380" s="11"/>
      <c r="G380" s="14"/>
      <c r="H380" s="11"/>
      <c r="I380" s="11"/>
      <c r="J380" s="11"/>
      <c r="K380" s="11"/>
      <c r="L380" s="11"/>
      <c r="M380" s="12"/>
      <c r="N380" s="11"/>
      <c r="O380" s="13"/>
      <c r="P380" s="12"/>
      <c r="Q380" s="12"/>
      <c r="R380" s="12"/>
      <c r="S380" s="12"/>
    </row>
    <row r="381" ht="15" customHeight="1" s="4" customFormat="1">
      <c r="A381" s="9"/>
      <c r="B381" s="11"/>
      <c r="C381" s="11"/>
      <c r="D381" s="11"/>
      <c r="E381" s="11"/>
      <c r="F381" s="11"/>
      <c r="G381" s="14"/>
      <c r="H381" s="11"/>
      <c r="I381" s="11"/>
      <c r="J381" s="11"/>
      <c r="K381" s="11"/>
      <c r="L381" s="11"/>
      <c r="M381" s="12"/>
      <c r="N381" s="11"/>
      <c r="O381" s="13"/>
      <c r="P381" s="12"/>
      <c r="Q381" s="12"/>
      <c r="R381" s="12"/>
      <c r="S381" s="12"/>
    </row>
    <row r="382" ht="15" customHeight="1" s="4" customFormat="1">
      <c r="A382" s="9"/>
      <c r="B382" s="11"/>
      <c r="C382" s="11"/>
      <c r="D382" s="11"/>
      <c r="E382" s="11"/>
      <c r="F382" s="11"/>
      <c r="G382" s="14"/>
      <c r="H382" s="11"/>
      <c r="I382" s="11"/>
      <c r="J382" s="11"/>
      <c r="K382" s="11"/>
      <c r="L382" s="11"/>
      <c r="M382" s="12"/>
      <c r="N382" s="11"/>
      <c r="O382" s="13"/>
      <c r="P382" s="12"/>
      <c r="Q382" s="12"/>
      <c r="R382" s="12"/>
      <c r="S382" s="12"/>
    </row>
    <row r="383" ht="15" customHeight="1" s="4" customFormat="1">
      <c r="A383" s="9"/>
      <c r="B383" s="11"/>
      <c r="C383" s="11"/>
      <c r="D383" s="11"/>
      <c r="E383" s="11"/>
      <c r="F383" s="11"/>
      <c r="G383" s="14"/>
      <c r="H383" s="11"/>
      <c r="I383" s="11"/>
      <c r="J383" s="11"/>
      <c r="K383" s="11"/>
      <c r="L383" s="11"/>
      <c r="M383" s="12"/>
      <c r="N383" s="11"/>
      <c r="O383" s="13"/>
      <c r="P383" s="12"/>
      <c r="Q383" s="12"/>
      <c r="R383" s="12"/>
      <c r="S383" s="12"/>
    </row>
    <row r="384" ht="15" customHeight="1" s="4" customFormat="1">
      <c r="A384" s="9"/>
      <c r="B384" s="11"/>
      <c r="C384" s="11"/>
      <c r="D384" s="11"/>
      <c r="E384" s="11"/>
      <c r="F384" s="11"/>
      <c r="G384" s="14"/>
      <c r="H384" s="11"/>
      <c r="I384" s="11"/>
      <c r="J384" s="11"/>
      <c r="K384" s="11"/>
      <c r="L384" s="11"/>
      <c r="M384" s="12"/>
      <c r="N384" s="11"/>
      <c r="O384" s="13"/>
      <c r="P384" s="12"/>
      <c r="Q384" s="12"/>
      <c r="R384" s="12"/>
      <c r="S384" s="12"/>
    </row>
    <row r="385" ht="15" customHeight="1" s="4" customFormat="1">
      <c r="A385" s="9"/>
      <c r="B385" s="11"/>
      <c r="C385" s="11"/>
      <c r="D385" s="11"/>
      <c r="E385" s="11"/>
      <c r="F385" s="11"/>
      <c r="G385" s="14"/>
      <c r="H385" s="11"/>
      <c r="I385" s="11"/>
      <c r="J385" s="11"/>
      <c r="K385" s="11"/>
      <c r="L385" s="11"/>
      <c r="M385" s="12"/>
      <c r="N385" s="11"/>
      <c r="O385" s="13"/>
      <c r="P385" s="12"/>
      <c r="Q385" s="12"/>
      <c r="R385" s="12"/>
      <c r="S385" s="12"/>
    </row>
    <row r="386" ht="15" customHeight="1" s="4" customFormat="1">
      <c r="A386" s="9"/>
      <c r="B386" s="11"/>
      <c r="C386" s="11"/>
      <c r="D386" s="11"/>
      <c r="E386" s="11"/>
      <c r="F386" s="11"/>
      <c r="G386" s="14"/>
      <c r="H386" s="11"/>
      <c r="I386" s="11"/>
      <c r="J386" s="11"/>
      <c r="K386" s="11"/>
      <c r="L386" s="11"/>
      <c r="M386" s="12"/>
      <c r="N386" s="11"/>
      <c r="O386" s="13"/>
      <c r="P386" s="12"/>
      <c r="Q386" s="12"/>
      <c r="R386" s="12"/>
      <c r="S386" s="12"/>
    </row>
    <row r="387" ht="15" customHeight="1" s="4" customFormat="1">
      <c r="A387" s="9"/>
      <c r="B387" s="11"/>
      <c r="C387" s="11"/>
      <c r="D387" s="11"/>
      <c r="E387" s="11"/>
      <c r="F387" s="11"/>
      <c r="G387" s="14"/>
      <c r="H387" s="11"/>
      <c r="I387" s="11"/>
      <c r="J387" s="11"/>
      <c r="K387" s="11"/>
      <c r="L387" s="11"/>
      <c r="M387" s="12"/>
      <c r="N387" s="11"/>
      <c r="O387" s="13"/>
      <c r="P387" s="12"/>
      <c r="Q387" s="12"/>
      <c r="R387" s="12"/>
      <c r="S387" s="12"/>
    </row>
    <row r="388" ht="15" customHeight="1" s="4" customFormat="1">
      <c r="A388" s="9"/>
      <c r="B388" s="11"/>
      <c r="C388" s="11"/>
      <c r="D388" s="11"/>
      <c r="E388" s="11"/>
      <c r="F388" s="11"/>
      <c r="G388" s="14"/>
      <c r="H388" s="11"/>
      <c r="I388" s="11"/>
      <c r="J388" s="11"/>
      <c r="K388" s="11"/>
      <c r="L388" s="11"/>
      <c r="M388" s="12"/>
      <c r="N388" s="11"/>
      <c r="O388" s="13"/>
      <c r="P388" s="12"/>
      <c r="Q388" s="12"/>
      <c r="R388" s="12"/>
      <c r="S388" s="12"/>
    </row>
    <row r="389" ht="15" customHeight="1" s="4" customFormat="1">
      <c r="A389" s="9"/>
      <c r="B389" s="11"/>
      <c r="C389" s="11"/>
      <c r="D389" s="11"/>
      <c r="E389" s="11"/>
      <c r="F389" s="11"/>
      <c r="G389" s="14"/>
      <c r="H389" s="11"/>
      <c r="I389" s="11"/>
      <c r="J389" s="11"/>
      <c r="K389" s="11"/>
      <c r="L389" s="11"/>
      <c r="M389" s="12"/>
      <c r="N389" s="11"/>
      <c r="O389" s="13"/>
      <c r="P389" s="12"/>
      <c r="Q389" s="12"/>
      <c r="R389" s="12"/>
      <c r="S389" s="12"/>
    </row>
    <row r="390" ht="15" customHeight="1" s="4" customFormat="1">
      <c r="A390" s="9"/>
      <c r="B390" s="11"/>
      <c r="C390" s="11"/>
      <c r="D390" s="11"/>
      <c r="E390" s="11"/>
      <c r="F390" s="11"/>
      <c r="G390" s="14"/>
      <c r="H390" s="11"/>
      <c r="I390" s="11"/>
      <c r="J390" s="11"/>
      <c r="K390" s="11"/>
      <c r="L390" s="11"/>
      <c r="M390" s="12"/>
      <c r="N390" s="11"/>
      <c r="O390" s="13"/>
      <c r="P390" s="12"/>
      <c r="Q390" s="12"/>
      <c r="R390" s="12"/>
      <c r="S390" s="12"/>
    </row>
    <row r="391" ht="15" customHeight="1" s="4" customFormat="1">
      <c r="A391" s="9"/>
      <c r="B391" s="11"/>
      <c r="C391" s="11"/>
      <c r="D391" s="11"/>
      <c r="E391" s="11"/>
      <c r="F391" s="11"/>
      <c r="G391" s="14"/>
      <c r="H391" s="11"/>
      <c r="I391" s="11"/>
      <c r="J391" s="11"/>
      <c r="K391" s="11"/>
      <c r="L391" s="11"/>
      <c r="M391" s="12"/>
      <c r="N391" s="11"/>
      <c r="O391" s="13"/>
      <c r="P391" s="12"/>
      <c r="Q391" s="12"/>
      <c r="R391" s="12"/>
      <c r="S391" s="12"/>
    </row>
    <row r="392" ht="15" customHeight="1" s="4" customFormat="1">
      <c r="A392" s="9"/>
      <c r="B392" s="11"/>
      <c r="C392" s="11"/>
      <c r="D392" s="11"/>
      <c r="E392" s="11"/>
      <c r="F392" s="11"/>
      <c r="G392" s="14"/>
      <c r="H392" s="11"/>
      <c r="I392" s="11"/>
      <c r="J392" s="11"/>
      <c r="K392" s="11"/>
      <c r="L392" s="11"/>
      <c r="M392" s="12"/>
      <c r="N392" s="11"/>
      <c r="O392" s="13"/>
      <c r="P392" s="12"/>
      <c r="Q392" s="12"/>
      <c r="R392" s="12"/>
      <c r="S392" s="12"/>
    </row>
    <row r="393" ht="15" customHeight="1" s="4" customFormat="1">
      <c r="A393" s="9"/>
      <c r="B393" s="11"/>
      <c r="C393" s="11"/>
      <c r="D393" s="11"/>
      <c r="E393" s="11"/>
      <c r="F393" s="11"/>
      <c r="G393" s="14"/>
      <c r="H393" s="11"/>
      <c r="I393" s="11"/>
      <c r="J393" s="11"/>
      <c r="K393" s="11"/>
      <c r="L393" s="11"/>
      <c r="M393" s="12"/>
      <c r="N393" s="11"/>
      <c r="O393" s="13"/>
      <c r="P393" s="12"/>
      <c r="Q393" s="12"/>
      <c r="R393" s="12"/>
      <c r="S393" s="12"/>
    </row>
    <row r="394" ht="15" customHeight="1" s="4" customFormat="1">
      <c r="A394" s="9"/>
      <c r="B394" s="11"/>
      <c r="C394" s="11"/>
      <c r="D394" s="11"/>
      <c r="E394" s="11"/>
      <c r="F394" s="11"/>
      <c r="G394" s="14"/>
      <c r="H394" s="11"/>
      <c r="I394" s="11"/>
      <c r="J394" s="11"/>
      <c r="K394" s="11"/>
      <c r="L394" s="11"/>
      <c r="M394" s="12"/>
      <c r="N394" s="11"/>
      <c r="O394" s="13"/>
      <c r="P394" s="12"/>
      <c r="Q394" s="12"/>
      <c r="R394" s="12"/>
      <c r="S394" s="12"/>
    </row>
    <row r="395" ht="15" customHeight="1" s="4" customFormat="1">
      <c r="A395" s="9"/>
      <c r="B395" s="11"/>
      <c r="C395" s="11"/>
      <c r="D395" s="11"/>
      <c r="E395" s="11"/>
      <c r="F395" s="11"/>
      <c r="G395" s="14"/>
      <c r="H395" s="11"/>
      <c r="I395" s="11"/>
      <c r="J395" s="11"/>
      <c r="K395" s="11"/>
      <c r="L395" s="11"/>
      <c r="M395" s="12"/>
      <c r="N395" s="11"/>
      <c r="O395" s="13"/>
      <c r="P395" s="12"/>
      <c r="Q395" s="12"/>
      <c r="R395" s="12"/>
      <c r="S395" s="12"/>
    </row>
    <row r="396" ht="15" customHeight="1" s="4" customFormat="1">
      <c r="A396" s="9"/>
      <c r="B396" s="11"/>
      <c r="C396" s="11"/>
      <c r="D396" s="11"/>
      <c r="E396" s="11"/>
      <c r="F396" s="11"/>
      <c r="G396" s="14"/>
      <c r="H396" s="11"/>
      <c r="I396" s="11"/>
      <c r="J396" s="11"/>
      <c r="K396" s="11"/>
      <c r="L396" s="11"/>
      <c r="M396" s="12"/>
      <c r="N396" s="11"/>
      <c r="O396" s="13"/>
      <c r="P396" s="12"/>
      <c r="Q396" s="12"/>
      <c r="R396" s="12"/>
      <c r="S396" s="12"/>
    </row>
    <row r="397" ht="15" customHeight="1" s="4" customFormat="1">
      <c r="A397" s="9"/>
      <c r="B397" s="11"/>
      <c r="C397" s="11"/>
      <c r="D397" s="11"/>
      <c r="E397" s="11"/>
      <c r="F397" s="11"/>
      <c r="G397" s="14"/>
      <c r="H397" s="11"/>
      <c r="I397" s="11"/>
      <c r="J397" s="11"/>
      <c r="K397" s="11"/>
      <c r="L397" s="11"/>
      <c r="M397" s="12"/>
      <c r="N397" s="11"/>
      <c r="O397" s="13"/>
      <c r="P397" s="12"/>
      <c r="Q397" s="12"/>
      <c r="R397" s="12"/>
      <c r="S397" s="12"/>
    </row>
    <row r="398" ht="15" customHeight="1" s="4" customFormat="1">
      <c r="A398" s="9"/>
      <c r="B398" s="11"/>
      <c r="C398" s="11"/>
      <c r="D398" s="11"/>
      <c r="E398" s="11"/>
      <c r="F398" s="11"/>
      <c r="G398" s="14"/>
      <c r="H398" s="11"/>
      <c r="I398" s="11"/>
      <c r="J398" s="11"/>
      <c r="K398" s="11"/>
      <c r="L398" s="11"/>
      <c r="M398" s="12"/>
      <c r="N398" s="11"/>
      <c r="O398" s="13"/>
      <c r="P398" s="12"/>
      <c r="Q398" s="12"/>
      <c r="R398" s="12"/>
      <c r="S398" s="12"/>
    </row>
    <row r="399" ht="15" customHeight="1" s="4" customFormat="1">
      <c r="A399" s="9"/>
      <c r="B399" s="11"/>
      <c r="C399" s="11"/>
      <c r="D399" s="11"/>
      <c r="E399" s="11"/>
      <c r="F399" s="11"/>
      <c r="G399" s="14"/>
      <c r="H399" s="11"/>
      <c r="I399" s="11"/>
      <c r="J399" s="11"/>
      <c r="K399" s="11"/>
      <c r="L399" s="11"/>
      <c r="M399" s="12"/>
      <c r="N399" s="11"/>
      <c r="O399" s="13"/>
      <c r="P399" s="12"/>
      <c r="Q399" s="12"/>
      <c r="R399" s="12"/>
      <c r="S399" s="12"/>
    </row>
    <row r="400" ht="15" customHeight="1" s="4" customFormat="1">
      <c r="A400" s="9"/>
      <c r="B400" s="11"/>
      <c r="C400" s="11"/>
      <c r="D400" s="11"/>
      <c r="E400" s="11"/>
      <c r="F400" s="11"/>
      <c r="G400" s="14"/>
      <c r="H400" s="11"/>
      <c r="I400" s="11"/>
      <c r="J400" s="11"/>
      <c r="K400" s="11"/>
      <c r="L400" s="11"/>
      <c r="M400" s="12"/>
      <c r="N400" s="11"/>
      <c r="O400" s="13"/>
      <c r="P400" s="12"/>
      <c r="Q400" s="12"/>
      <c r="R400" s="12"/>
      <c r="S400" s="12"/>
    </row>
    <row r="401" ht="15" customHeight="1" s="4" customFormat="1">
      <c r="A401" s="9"/>
      <c r="B401" s="11"/>
      <c r="C401" s="11"/>
      <c r="D401" s="11"/>
      <c r="E401" s="11"/>
      <c r="F401" s="11"/>
      <c r="G401" s="14"/>
      <c r="H401" s="11"/>
      <c r="I401" s="11"/>
      <c r="J401" s="11"/>
      <c r="K401" s="11"/>
      <c r="L401" s="11"/>
      <c r="M401" s="12"/>
      <c r="N401" s="11"/>
      <c r="O401" s="13"/>
      <c r="P401" s="12"/>
      <c r="Q401" s="12"/>
      <c r="R401" s="12"/>
      <c r="S401" s="12"/>
    </row>
    <row r="402" ht="15" customHeight="1" s="4" customFormat="1">
      <c r="A402" s="9"/>
      <c r="B402" s="11"/>
      <c r="C402" s="11"/>
      <c r="D402" s="11"/>
      <c r="E402" s="11"/>
      <c r="F402" s="11"/>
      <c r="G402" s="14"/>
      <c r="H402" s="11"/>
      <c r="I402" s="11"/>
      <c r="J402" s="11"/>
      <c r="K402" s="11"/>
      <c r="L402" s="11"/>
      <c r="M402" s="12"/>
      <c r="N402" s="11"/>
      <c r="O402" s="13"/>
      <c r="P402" s="12"/>
      <c r="Q402" s="12"/>
      <c r="R402" s="12"/>
      <c r="S402" s="12"/>
    </row>
    <row r="403" ht="15" customHeight="1" s="4" customFormat="1">
      <c r="A403" s="9"/>
      <c r="B403" s="11"/>
      <c r="C403" s="11"/>
      <c r="D403" s="11"/>
      <c r="E403" s="11"/>
      <c r="F403" s="11"/>
      <c r="G403" s="14"/>
      <c r="H403" s="11"/>
      <c r="I403" s="11"/>
      <c r="J403" s="11"/>
      <c r="K403" s="11"/>
      <c r="L403" s="11"/>
      <c r="M403" s="12"/>
      <c r="N403" s="11"/>
      <c r="O403" s="13"/>
      <c r="P403" s="12"/>
      <c r="Q403" s="12"/>
      <c r="R403" s="12"/>
      <c r="S403" s="12"/>
    </row>
    <row r="404" ht="15" customHeight="1" s="4" customFormat="1">
      <c r="A404" s="9"/>
      <c r="B404" s="11"/>
      <c r="C404" s="11"/>
      <c r="D404" s="11"/>
      <c r="E404" s="11"/>
      <c r="F404" s="11"/>
      <c r="G404" s="14"/>
      <c r="H404" s="11"/>
      <c r="I404" s="11"/>
      <c r="J404" s="11"/>
      <c r="K404" s="11"/>
      <c r="L404" s="11"/>
      <c r="M404" s="12"/>
      <c r="N404" s="11"/>
      <c r="O404" s="13"/>
      <c r="P404" s="12"/>
      <c r="Q404" s="12"/>
      <c r="R404" s="12"/>
      <c r="S404" s="12"/>
    </row>
    <row r="405" ht="15" customHeight="1" s="4" customFormat="1">
      <c r="A405" s="9"/>
      <c r="B405" s="11"/>
      <c r="C405" s="11"/>
      <c r="D405" s="11"/>
      <c r="E405" s="11"/>
      <c r="F405" s="11"/>
      <c r="G405" s="14"/>
      <c r="H405" s="11"/>
      <c r="I405" s="11"/>
      <c r="J405" s="11"/>
      <c r="K405" s="11"/>
      <c r="L405" s="11"/>
      <c r="M405" s="12"/>
      <c r="N405" s="11"/>
      <c r="O405" s="13"/>
      <c r="P405" s="12"/>
      <c r="Q405" s="12"/>
      <c r="R405" s="12"/>
      <c r="S405" s="12"/>
    </row>
    <row r="406" ht="15" customHeight="1" s="4" customFormat="1">
      <c r="A406" s="9"/>
      <c r="B406" s="11"/>
      <c r="C406" s="11"/>
      <c r="D406" s="11"/>
      <c r="E406" s="11"/>
      <c r="F406" s="11"/>
      <c r="G406" s="14"/>
      <c r="H406" s="11"/>
      <c r="I406" s="11"/>
      <c r="J406" s="11"/>
      <c r="K406" s="11"/>
      <c r="L406" s="11"/>
      <c r="M406" s="12"/>
      <c r="N406" s="11"/>
      <c r="O406" s="13"/>
      <c r="P406" s="12"/>
      <c r="Q406" s="12"/>
      <c r="R406" s="12"/>
      <c r="S406" s="12"/>
    </row>
    <row r="407" ht="15" customHeight="1" s="4" customFormat="1">
      <c r="A407" s="9"/>
      <c r="B407" s="11"/>
      <c r="C407" s="11"/>
      <c r="D407" s="11"/>
      <c r="E407" s="11"/>
      <c r="F407" s="11"/>
      <c r="G407" s="14"/>
      <c r="H407" s="11"/>
      <c r="I407" s="11"/>
      <c r="J407" s="11"/>
      <c r="K407" s="11"/>
      <c r="L407" s="11"/>
      <c r="M407" s="12"/>
      <c r="N407" s="11"/>
      <c r="O407" s="13"/>
      <c r="P407" s="12"/>
      <c r="Q407" s="12"/>
      <c r="R407" s="12"/>
      <c r="S407" s="12"/>
    </row>
    <row r="408" ht="15" customHeight="1" s="4" customFormat="1">
      <c r="A408" s="9"/>
      <c r="B408" s="11"/>
      <c r="C408" s="11"/>
      <c r="D408" s="11"/>
      <c r="E408" s="11"/>
      <c r="F408" s="11"/>
      <c r="G408" s="14"/>
      <c r="H408" s="11"/>
      <c r="I408" s="11"/>
      <c r="J408" s="11"/>
      <c r="K408" s="11"/>
      <c r="L408" s="11"/>
      <c r="M408" s="12"/>
      <c r="N408" s="11"/>
      <c r="O408" s="13"/>
      <c r="P408" s="12"/>
      <c r="Q408" s="12"/>
      <c r="R408" s="12"/>
      <c r="S408" s="12"/>
    </row>
    <row r="409" ht="15" customHeight="1" s="4" customFormat="1">
      <c r="A409" s="9"/>
      <c r="B409" s="11"/>
      <c r="C409" s="11"/>
      <c r="D409" s="11"/>
      <c r="E409" s="11"/>
      <c r="F409" s="11"/>
      <c r="G409" s="14"/>
      <c r="H409" s="11"/>
      <c r="I409" s="11"/>
      <c r="J409" s="11"/>
      <c r="K409" s="11"/>
      <c r="L409" s="11"/>
      <c r="M409" s="12"/>
      <c r="N409" s="11"/>
      <c r="O409" s="13"/>
      <c r="P409" s="12"/>
      <c r="Q409" s="12"/>
      <c r="R409" s="12"/>
      <c r="S409" s="12"/>
    </row>
    <row r="410" ht="15" customHeight="1" s="4" customFormat="1">
      <c r="A410" s="9"/>
      <c r="B410" s="11"/>
      <c r="C410" s="11"/>
      <c r="D410" s="11"/>
      <c r="E410" s="11"/>
      <c r="F410" s="11"/>
      <c r="G410" s="14"/>
      <c r="H410" s="11"/>
      <c r="I410" s="11"/>
      <c r="J410" s="11"/>
      <c r="K410" s="11"/>
      <c r="L410" s="11"/>
      <c r="M410" s="12"/>
      <c r="N410" s="11"/>
      <c r="O410" s="13"/>
      <c r="P410" s="12"/>
      <c r="Q410" s="12"/>
      <c r="R410" s="12"/>
      <c r="S410" s="12"/>
    </row>
    <row r="411" ht="15" customHeight="1" s="4" customFormat="1">
      <c r="A411" s="9"/>
      <c r="B411" s="11"/>
      <c r="C411" s="11"/>
      <c r="D411" s="11"/>
      <c r="E411" s="11"/>
      <c r="F411" s="11"/>
      <c r="G411" s="14"/>
      <c r="H411" s="11"/>
      <c r="I411" s="11"/>
      <c r="J411" s="11"/>
      <c r="K411" s="11"/>
      <c r="L411" s="11"/>
      <c r="M411" s="12"/>
      <c r="N411" s="11"/>
      <c r="O411" s="13"/>
      <c r="P411" s="12"/>
      <c r="Q411" s="12"/>
      <c r="R411" s="12"/>
      <c r="S411" s="12"/>
    </row>
    <row r="412" ht="15" customHeight="1" s="4" customFormat="1">
      <c r="A412" s="9"/>
      <c r="B412" s="11"/>
      <c r="C412" s="11"/>
      <c r="D412" s="11"/>
      <c r="E412" s="11"/>
      <c r="F412" s="11"/>
      <c r="G412" s="14"/>
      <c r="H412" s="11"/>
      <c r="I412" s="11"/>
      <c r="J412" s="11"/>
      <c r="K412" s="11"/>
      <c r="L412" s="11"/>
      <c r="M412" s="12"/>
      <c r="N412" s="11"/>
      <c r="O412" s="13"/>
      <c r="P412" s="12"/>
      <c r="Q412" s="12"/>
      <c r="R412" s="12"/>
      <c r="S412" s="12"/>
    </row>
    <row r="413" ht="15" customHeight="1" s="4" customFormat="1">
      <c r="A413" s="9"/>
      <c r="B413" s="11"/>
      <c r="C413" s="11"/>
      <c r="D413" s="11"/>
      <c r="E413" s="11"/>
      <c r="F413" s="11"/>
      <c r="G413" s="14"/>
      <c r="H413" s="11"/>
      <c r="I413" s="11"/>
      <c r="J413" s="11"/>
      <c r="K413" s="11"/>
      <c r="L413" s="11"/>
      <c r="M413" s="12"/>
      <c r="N413" s="11"/>
      <c r="O413" s="13"/>
      <c r="P413" s="12"/>
      <c r="Q413" s="12"/>
      <c r="R413" s="12"/>
      <c r="S413" s="12"/>
    </row>
    <row r="414" ht="15" customHeight="1" s="4" customFormat="1">
      <c r="A414" s="9"/>
      <c r="B414" s="11"/>
      <c r="C414" s="11"/>
      <c r="D414" s="11"/>
      <c r="E414" s="11"/>
      <c r="F414" s="11"/>
      <c r="G414" s="14"/>
      <c r="H414" s="11"/>
      <c r="I414" s="11"/>
      <c r="J414" s="11"/>
      <c r="K414" s="11"/>
      <c r="L414" s="11"/>
      <c r="M414" s="12"/>
      <c r="N414" s="11"/>
      <c r="O414" s="13"/>
      <c r="P414" s="12"/>
      <c r="Q414" s="12"/>
      <c r="R414" s="12"/>
      <c r="S414" s="12"/>
    </row>
    <row r="415" ht="15" customHeight="1" s="4" customFormat="1">
      <c r="A415" s="9"/>
      <c r="B415" s="11"/>
      <c r="C415" s="11"/>
      <c r="D415" s="11"/>
      <c r="E415" s="11"/>
      <c r="F415" s="11"/>
      <c r="G415" s="14"/>
      <c r="H415" s="11"/>
      <c r="I415" s="11"/>
      <c r="J415" s="11"/>
      <c r="K415" s="11"/>
      <c r="L415" s="11"/>
      <c r="M415" s="12"/>
      <c r="N415" s="11"/>
      <c r="O415" s="13"/>
      <c r="P415" s="12"/>
      <c r="Q415" s="12"/>
      <c r="R415" s="12"/>
      <c r="S415" s="12"/>
    </row>
    <row r="416" ht="15" customHeight="1" s="4" customFormat="1">
      <c r="A416" s="9"/>
      <c r="B416" s="11"/>
      <c r="C416" s="11"/>
      <c r="D416" s="11"/>
      <c r="E416" s="11"/>
      <c r="F416" s="11"/>
      <c r="G416" s="14"/>
      <c r="H416" s="11"/>
      <c r="I416" s="11"/>
      <c r="J416" s="11"/>
      <c r="K416" s="11"/>
      <c r="L416" s="11"/>
      <c r="M416" s="12"/>
      <c r="N416" s="11"/>
      <c r="O416" s="13"/>
      <c r="P416" s="12"/>
      <c r="Q416" s="12"/>
      <c r="R416" s="12"/>
      <c r="S416" s="12"/>
    </row>
    <row r="417" ht="15" customHeight="1" s="4" customFormat="1">
      <c r="A417" s="9"/>
      <c r="B417" s="11"/>
      <c r="C417" s="11"/>
      <c r="D417" s="11"/>
      <c r="E417" s="11"/>
      <c r="F417" s="11"/>
      <c r="G417" s="14"/>
      <c r="H417" s="11"/>
      <c r="I417" s="11"/>
      <c r="J417" s="11"/>
      <c r="K417" s="11"/>
      <c r="L417" s="11"/>
      <c r="M417" s="12"/>
      <c r="N417" s="11"/>
      <c r="O417" s="13"/>
      <c r="P417" s="12"/>
      <c r="Q417" s="12"/>
      <c r="R417" s="12"/>
      <c r="S417" s="12"/>
    </row>
    <row r="418" ht="15" customHeight="1" s="4" customFormat="1">
      <c r="A418" s="9"/>
      <c r="B418" s="11"/>
      <c r="C418" s="11"/>
      <c r="D418" s="11"/>
      <c r="E418" s="11"/>
      <c r="F418" s="11"/>
      <c r="G418" s="14"/>
      <c r="H418" s="11"/>
      <c r="I418" s="11"/>
      <c r="J418" s="11"/>
      <c r="K418" s="11"/>
      <c r="L418" s="11"/>
      <c r="M418" s="12"/>
      <c r="N418" s="11"/>
      <c r="O418" s="13"/>
      <c r="P418" s="12"/>
      <c r="Q418" s="12"/>
      <c r="R418" s="12"/>
      <c r="S418" s="12"/>
    </row>
    <row r="419" ht="15" customHeight="1" s="4" customFormat="1">
      <c r="A419" s="9"/>
      <c r="B419" s="11"/>
      <c r="C419" s="11"/>
      <c r="D419" s="11"/>
      <c r="E419" s="11"/>
      <c r="F419" s="11"/>
      <c r="G419" s="14"/>
      <c r="H419" s="11"/>
      <c r="I419" s="11"/>
      <c r="J419" s="11"/>
      <c r="K419" s="11"/>
      <c r="L419" s="11"/>
      <c r="M419" s="12"/>
      <c r="N419" s="11"/>
      <c r="O419" s="13"/>
      <c r="P419" s="12"/>
      <c r="Q419" s="12"/>
      <c r="R419" s="12"/>
      <c r="S419" s="12"/>
    </row>
    <row r="420" ht="15" customHeight="1" s="4" customFormat="1">
      <c r="A420" s="9"/>
      <c r="B420" s="11"/>
      <c r="C420" s="11"/>
      <c r="D420" s="11"/>
      <c r="E420" s="11"/>
      <c r="F420" s="11"/>
      <c r="G420" s="14"/>
      <c r="H420" s="11"/>
      <c r="I420" s="11"/>
      <c r="J420" s="11"/>
      <c r="K420" s="11"/>
      <c r="L420" s="11"/>
      <c r="M420" s="12"/>
      <c r="N420" s="11"/>
      <c r="O420" s="13"/>
      <c r="P420" s="12"/>
      <c r="Q420" s="12"/>
      <c r="R420" s="12"/>
      <c r="S420" s="12"/>
    </row>
    <row r="421" ht="15" customHeight="1" s="4" customFormat="1">
      <c r="A421" s="9"/>
      <c r="B421" s="11"/>
      <c r="C421" s="11"/>
      <c r="D421" s="11"/>
      <c r="E421" s="11"/>
      <c r="F421" s="11"/>
      <c r="G421" s="14"/>
      <c r="H421" s="11"/>
      <c r="I421" s="11"/>
      <c r="J421" s="11"/>
      <c r="K421" s="11"/>
      <c r="L421" s="11"/>
      <c r="M421" s="12"/>
      <c r="N421" s="11"/>
      <c r="O421" s="13"/>
      <c r="P421" s="12"/>
      <c r="Q421" s="12"/>
      <c r="R421" s="12"/>
      <c r="S421" s="12"/>
    </row>
    <row r="422" ht="15" customHeight="1" s="4" customFormat="1">
      <c r="A422" s="9"/>
      <c r="B422" s="11"/>
      <c r="C422" s="11"/>
      <c r="D422" s="11"/>
      <c r="E422" s="11"/>
      <c r="F422" s="11"/>
      <c r="G422" s="14"/>
      <c r="H422" s="11"/>
      <c r="I422" s="11"/>
      <c r="J422" s="11"/>
      <c r="K422" s="11"/>
      <c r="L422" s="11"/>
      <c r="M422" s="12"/>
      <c r="N422" s="11"/>
      <c r="O422" s="13"/>
      <c r="P422" s="12"/>
      <c r="Q422" s="12"/>
      <c r="R422" s="12"/>
      <c r="S422" s="12"/>
    </row>
    <row r="423" ht="15" customHeight="1" s="4" customFormat="1">
      <c r="A423" s="9"/>
      <c r="B423" s="11"/>
      <c r="C423" s="11"/>
      <c r="D423" s="11"/>
      <c r="E423" s="11"/>
      <c r="F423" s="11"/>
      <c r="G423" s="14"/>
      <c r="H423" s="11"/>
      <c r="I423" s="11"/>
      <c r="J423" s="11"/>
      <c r="K423" s="11"/>
      <c r="L423" s="11"/>
      <c r="M423" s="12"/>
      <c r="N423" s="11"/>
      <c r="O423" s="13"/>
      <c r="P423" s="12"/>
      <c r="Q423" s="12"/>
      <c r="R423" s="12"/>
      <c r="S423" s="12"/>
    </row>
    <row r="424" ht="15" customHeight="1" s="4" customFormat="1">
      <c r="A424" s="9"/>
      <c r="B424" s="11"/>
      <c r="C424" s="11"/>
      <c r="D424" s="11"/>
      <c r="E424" s="11"/>
      <c r="F424" s="11"/>
      <c r="G424" s="14"/>
      <c r="H424" s="11"/>
      <c r="I424" s="11"/>
      <c r="J424" s="11"/>
      <c r="K424" s="11"/>
      <c r="L424" s="11"/>
      <c r="M424" s="12"/>
      <c r="N424" s="11"/>
      <c r="O424" s="13"/>
      <c r="P424" s="12"/>
      <c r="Q424" s="12"/>
      <c r="R424" s="12"/>
      <c r="S424" s="12"/>
    </row>
    <row r="425" ht="15" customHeight="1" s="4" customFormat="1">
      <c r="A425" s="9"/>
      <c r="B425" s="11"/>
      <c r="C425" s="11"/>
      <c r="D425" s="11"/>
      <c r="E425" s="11"/>
      <c r="F425" s="11"/>
      <c r="G425" s="14"/>
      <c r="H425" s="11"/>
      <c r="I425" s="11"/>
      <c r="J425" s="11"/>
      <c r="K425" s="11"/>
      <c r="L425" s="11"/>
      <c r="M425" s="12"/>
      <c r="N425" s="11"/>
      <c r="O425" s="13"/>
      <c r="P425" s="12"/>
      <c r="Q425" s="12"/>
      <c r="R425" s="12"/>
      <c r="S425" s="12"/>
    </row>
    <row r="426" ht="15" customHeight="1" s="4" customFormat="1">
      <c r="A426" s="9"/>
      <c r="B426" s="11"/>
      <c r="C426" s="11"/>
      <c r="D426" s="11"/>
      <c r="E426" s="11"/>
      <c r="F426" s="11"/>
      <c r="G426" s="14"/>
      <c r="H426" s="11"/>
      <c r="I426" s="11"/>
      <c r="J426" s="11"/>
      <c r="K426" s="11"/>
      <c r="L426" s="11"/>
      <c r="M426" s="12"/>
      <c r="N426" s="11"/>
      <c r="O426" s="13"/>
      <c r="P426" s="12"/>
      <c r="Q426" s="12"/>
      <c r="R426" s="12"/>
      <c r="S426" s="12"/>
    </row>
    <row r="427" ht="15" customHeight="1" s="4" customFormat="1">
      <c r="A427" s="9"/>
      <c r="B427" s="11"/>
      <c r="C427" s="11"/>
      <c r="D427" s="11"/>
      <c r="E427" s="11"/>
      <c r="F427" s="11"/>
      <c r="G427" s="14"/>
      <c r="H427" s="11"/>
      <c r="I427" s="11"/>
      <c r="J427" s="11"/>
      <c r="K427" s="11"/>
      <c r="L427" s="11"/>
      <c r="M427" s="12"/>
      <c r="N427" s="11"/>
      <c r="O427" s="13"/>
      <c r="P427" s="12"/>
      <c r="Q427" s="12"/>
      <c r="R427" s="12"/>
      <c r="S427" s="12"/>
    </row>
    <row r="428" ht="15" customHeight="1" s="4" customFormat="1">
      <c r="A428" s="9"/>
      <c r="B428" s="11"/>
      <c r="C428" s="11"/>
      <c r="D428" s="11"/>
      <c r="E428" s="11"/>
      <c r="F428" s="11"/>
      <c r="G428" s="14"/>
      <c r="H428" s="11"/>
      <c r="I428" s="11"/>
      <c r="J428" s="11"/>
      <c r="K428" s="11"/>
      <c r="L428" s="11"/>
      <c r="M428" s="12"/>
      <c r="N428" s="11"/>
      <c r="O428" s="13"/>
      <c r="P428" s="12"/>
      <c r="Q428" s="12"/>
      <c r="R428" s="12"/>
      <c r="S428" s="12"/>
    </row>
    <row r="429" ht="15" customHeight="1" s="4" customFormat="1">
      <c r="A429" s="9"/>
      <c r="B429" s="11"/>
      <c r="C429" s="11"/>
      <c r="D429" s="11"/>
      <c r="E429" s="11"/>
      <c r="F429" s="11"/>
      <c r="G429" s="14"/>
      <c r="H429" s="11"/>
      <c r="I429" s="11"/>
      <c r="J429" s="11"/>
      <c r="K429" s="11"/>
      <c r="L429" s="11"/>
      <c r="M429" s="12"/>
      <c r="N429" s="11"/>
      <c r="O429" s="13"/>
      <c r="P429" s="12"/>
      <c r="Q429" s="12"/>
      <c r="R429" s="12"/>
      <c r="S429" s="12"/>
    </row>
    <row r="430" ht="15" customHeight="1" s="4" customFormat="1">
      <c r="A430" s="9"/>
      <c r="B430" s="11"/>
      <c r="C430" s="11"/>
      <c r="D430" s="11"/>
      <c r="E430" s="11"/>
      <c r="F430" s="11"/>
      <c r="G430" s="14"/>
      <c r="H430" s="11"/>
      <c r="I430" s="11"/>
      <c r="J430" s="11"/>
      <c r="K430" s="11"/>
      <c r="L430" s="11"/>
      <c r="M430" s="12"/>
      <c r="N430" s="11"/>
      <c r="O430" s="13"/>
      <c r="P430" s="12"/>
      <c r="Q430" s="12"/>
      <c r="R430" s="12"/>
      <c r="S430" s="12"/>
    </row>
    <row r="431" ht="15" customHeight="1" s="4" customFormat="1">
      <c r="A431" s="9"/>
      <c r="B431" s="11"/>
      <c r="C431" s="11"/>
      <c r="D431" s="11"/>
      <c r="E431" s="11"/>
      <c r="F431" s="11"/>
      <c r="G431" s="14"/>
      <c r="H431" s="11"/>
      <c r="I431" s="11"/>
      <c r="J431" s="11"/>
      <c r="K431" s="11"/>
      <c r="L431" s="11"/>
      <c r="M431" s="12"/>
      <c r="N431" s="11"/>
      <c r="O431" s="13"/>
      <c r="P431" s="12"/>
      <c r="Q431" s="12"/>
      <c r="R431" s="12"/>
      <c r="S431" s="12"/>
    </row>
    <row r="432" ht="15" customHeight="1" s="4" customFormat="1">
      <c r="A432" s="9"/>
      <c r="B432" s="11"/>
      <c r="C432" s="11"/>
      <c r="D432" s="11"/>
      <c r="E432" s="11"/>
      <c r="F432" s="11"/>
      <c r="G432" s="14"/>
      <c r="H432" s="11"/>
      <c r="I432" s="11"/>
      <c r="J432" s="11"/>
      <c r="K432" s="11"/>
      <c r="L432" s="11"/>
      <c r="M432" s="12"/>
      <c r="N432" s="11"/>
      <c r="O432" s="13"/>
      <c r="P432" s="12"/>
      <c r="Q432" s="12"/>
      <c r="R432" s="12"/>
      <c r="S432" s="12"/>
    </row>
    <row r="433" ht="15" customHeight="1" s="4" customFormat="1">
      <c r="A433" s="9"/>
      <c r="B433" s="11"/>
      <c r="C433" s="11"/>
      <c r="D433" s="11"/>
      <c r="E433" s="11"/>
      <c r="F433" s="11"/>
      <c r="G433" s="14"/>
      <c r="H433" s="11"/>
      <c r="I433" s="11"/>
      <c r="J433" s="11"/>
      <c r="K433" s="11"/>
      <c r="L433" s="11"/>
      <c r="M433" s="12"/>
      <c r="N433" s="11"/>
      <c r="O433" s="13"/>
      <c r="P433" s="12"/>
      <c r="Q433" s="12"/>
      <c r="R433" s="12"/>
      <c r="S433" s="12"/>
    </row>
    <row r="434" ht="15" customHeight="1" s="4" customFormat="1">
      <c r="A434" s="9"/>
      <c r="B434" s="11"/>
      <c r="C434" s="11"/>
      <c r="D434" s="11"/>
      <c r="E434" s="11"/>
      <c r="F434" s="11"/>
      <c r="G434" s="14"/>
      <c r="H434" s="11"/>
      <c r="I434" s="11"/>
      <c r="J434" s="11"/>
      <c r="K434" s="11"/>
      <c r="L434" s="11"/>
      <c r="M434" s="12"/>
      <c r="N434" s="11"/>
      <c r="O434" s="13"/>
      <c r="P434" s="12"/>
      <c r="Q434" s="12"/>
      <c r="R434" s="12"/>
      <c r="S434" s="12"/>
    </row>
    <row r="435" ht="15" customHeight="1" s="4" customFormat="1">
      <c r="A435" s="9"/>
      <c r="B435" s="11"/>
      <c r="C435" s="11"/>
      <c r="D435" s="11"/>
      <c r="E435" s="11"/>
      <c r="F435" s="11"/>
      <c r="G435" s="14"/>
      <c r="H435" s="11"/>
      <c r="I435" s="11"/>
      <c r="J435" s="11"/>
      <c r="K435" s="11"/>
      <c r="L435" s="11"/>
      <c r="M435" s="12"/>
      <c r="N435" s="11"/>
      <c r="O435" s="13"/>
      <c r="P435" s="12"/>
      <c r="Q435" s="12"/>
      <c r="R435" s="12"/>
      <c r="S435" s="12"/>
    </row>
    <row r="436" ht="15" customHeight="1" s="4" customFormat="1">
      <c r="A436" s="9"/>
      <c r="B436" s="11"/>
      <c r="C436" s="11"/>
      <c r="D436" s="11"/>
      <c r="E436" s="11"/>
      <c r="F436" s="11"/>
      <c r="G436" s="14"/>
      <c r="H436" s="11"/>
      <c r="I436" s="11"/>
      <c r="J436" s="11"/>
      <c r="K436" s="11"/>
      <c r="L436" s="11"/>
      <c r="M436" s="12"/>
      <c r="N436" s="11"/>
      <c r="O436" s="13"/>
      <c r="P436" s="12"/>
      <c r="Q436" s="12"/>
      <c r="R436" s="12"/>
      <c r="S436" s="12"/>
    </row>
    <row r="437" ht="15" customHeight="1" s="4" customFormat="1">
      <c r="A437" s="9"/>
      <c r="B437" s="11"/>
      <c r="C437" s="11"/>
      <c r="D437" s="11"/>
      <c r="E437" s="11"/>
      <c r="F437" s="11"/>
      <c r="G437" s="14"/>
      <c r="H437" s="11"/>
      <c r="I437" s="11"/>
      <c r="J437" s="11"/>
      <c r="K437" s="11"/>
      <c r="L437" s="11"/>
      <c r="M437" s="12"/>
      <c r="N437" s="11"/>
      <c r="O437" s="13"/>
      <c r="P437" s="12"/>
      <c r="Q437" s="12"/>
      <c r="R437" s="12"/>
      <c r="S437" s="12"/>
    </row>
    <row r="438" ht="15" customHeight="1" s="4" customFormat="1">
      <c r="A438" s="9"/>
      <c r="B438" s="11"/>
      <c r="C438" s="11"/>
      <c r="D438" s="11"/>
      <c r="E438" s="11"/>
      <c r="F438" s="11"/>
      <c r="G438" s="14"/>
      <c r="H438" s="11"/>
      <c r="I438" s="11"/>
      <c r="J438" s="11"/>
      <c r="K438" s="11"/>
      <c r="L438" s="11"/>
      <c r="M438" s="12"/>
      <c r="N438" s="11"/>
      <c r="O438" s="13"/>
      <c r="P438" s="12"/>
      <c r="Q438" s="12"/>
      <c r="R438" s="12"/>
      <c r="S438" s="12"/>
    </row>
    <row r="439" ht="15" customHeight="1" s="4" customFormat="1">
      <c r="A439" s="9"/>
      <c r="B439" s="11"/>
      <c r="C439" s="11"/>
      <c r="D439" s="11"/>
      <c r="E439" s="11"/>
      <c r="F439" s="11"/>
      <c r="G439" s="14"/>
      <c r="H439" s="11"/>
      <c r="I439" s="11"/>
      <c r="J439" s="11"/>
      <c r="K439" s="11"/>
      <c r="L439" s="11"/>
      <c r="M439" s="12"/>
      <c r="N439" s="11"/>
      <c r="O439" s="13"/>
      <c r="P439" s="12"/>
      <c r="Q439" s="12"/>
      <c r="R439" s="12"/>
      <c r="S439" s="12"/>
    </row>
    <row r="440" ht="15" customHeight="1" s="4" customFormat="1">
      <c r="A440" s="9"/>
      <c r="B440" s="11"/>
      <c r="C440" s="11"/>
      <c r="D440" s="11"/>
      <c r="E440" s="11"/>
      <c r="F440" s="11"/>
      <c r="G440" s="14"/>
      <c r="H440" s="11"/>
      <c r="I440" s="11"/>
      <c r="J440" s="11"/>
      <c r="K440" s="11"/>
      <c r="L440" s="11"/>
      <c r="M440" s="12"/>
      <c r="N440" s="11"/>
      <c r="O440" s="13"/>
      <c r="P440" s="12"/>
      <c r="Q440" s="12"/>
      <c r="R440" s="12"/>
      <c r="S440" s="12"/>
    </row>
    <row r="441" ht="15" customHeight="1" s="4" customFormat="1">
      <c r="A441" s="9"/>
      <c r="B441" s="11"/>
      <c r="C441" s="11"/>
      <c r="D441" s="11"/>
      <c r="E441" s="11"/>
      <c r="F441" s="11"/>
      <c r="G441" s="14"/>
      <c r="H441" s="11"/>
      <c r="I441" s="11"/>
      <c r="J441" s="11"/>
      <c r="K441" s="11"/>
      <c r="L441" s="11"/>
      <c r="M441" s="12"/>
      <c r="N441" s="11"/>
      <c r="O441" s="13"/>
      <c r="P441" s="12"/>
      <c r="Q441" s="12"/>
      <c r="R441" s="12"/>
      <c r="S441" s="12"/>
    </row>
    <row r="442" ht="15" customHeight="1" s="4" customFormat="1">
      <c r="A442" s="9"/>
      <c r="B442" s="11"/>
      <c r="C442" s="11"/>
      <c r="D442" s="11"/>
      <c r="E442" s="11"/>
      <c r="F442" s="11"/>
      <c r="G442" s="14"/>
      <c r="H442" s="11"/>
      <c r="I442" s="11"/>
      <c r="J442" s="11"/>
      <c r="K442" s="11"/>
      <c r="L442" s="11"/>
      <c r="M442" s="12"/>
      <c r="N442" s="11"/>
      <c r="O442" s="13"/>
      <c r="P442" s="12"/>
      <c r="Q442" s="12"/>
      <c r="R442" s="12"/>
      <c r="S442" s="12"/>
    </row>
    <row r="443" ht="15" customHeight="1" s="4" customFormat="1">
      <c r="A443" s="9"/>
      <c r="B443" s="11"/>
      <c r="C443" s="11"/>
      <c r="D443" s="11"/>
      <c r="E443" s="11"/>
      <c r="F443" s="11"/>
      <c r="G443" s="14"/>
      <c r="H443" s="11"/>
      <c r="I443" s="11"/>
      <c r="J443" s="11"/>
      <c r="K443" s="11"/>
      <c r="L443" s="11"/>
      <c r="M443" s="12"/>
      <c r="N443" s="11"/>
      <c r="O443" s="13"/>
      <c r="P443" s="12"/>
      <c r="Q443" s="12"/>
      <c r="R443" s="12"/>
      <c r="S443" s="12"/>
    </row>
    <row r="444" ht="15" customHeight="1" s="4" customFormat="1">
      <c r="A444" s="9"/>
      <c r="B444" s="11"/>
      <c r="C444" s="11"/>
      <c r="D444" s="11"/>
      <c r="E444" s="11"/>
      <c r="F444" s="11"/>
      <c r="G444" s="14"/>
      <c r="H444" s="11"/>
      <c r="I444" s="11"/>
      <c r="J444" s="11"/>
      <c r="K444" s="11"/>
      <c r="L444" s="11"/>
      <c r="M444" s="12"/>
      <c r="N444" s="11"/>
      <c r="O444" s="13"/>
      <c r="P444" s="12"/>
      <c r="Q444" s="12"/>
      <c r="R444" s="12"/>
      <c r="S444" s="12"/>
    </row>
    <row r="445" ht="15" customHeight="1" s="4" customFormat="1">
      <c r="A445" s="9"/>
      <c r="B445" s="11"/>
      <c r="C445" s="11"/>
      <c r="D445" s="11"/>
      <c r="E445" s="11"/>
      <c r="F445" s="11"/>
      <c r="G445" s="14"/>
      <c r="H445" s="11"/>
      <c r="I445" s="11"/>
      <c r="J445" s="11"/>
      <c r="K445" s="11"/>
      <c r="L445" s="11"/>
      <c r="M445" s="12"/>
      <c r="N445" s="11"/>
      <c r="O445" s="13"/>
      <c r="P445" s="12"/>
      <c r="Q445" s="12"/>
      <c r="R445" s="12"/>
      <c r="S445" s="12"/>
    </row>
    <row r="446" ht="15" customHeight="1" s="4" customFormat="1">
      <c r="A446" s="9"/>
      <c r="B446" s="11"/>
      <c r="C446" s="11"/>
      <c r="D446" s="11"/>
      <c r="E446" s="11"/>
      <c r="F446" s="11"/>
      <c r="G446" s="14"/>
      <c r="H446" s="11"/>
      <c r="I446" s="11"/>
      <c r="J446" s="11"/>
      <c r="K446" s="11"/>
      <c r="L446" s="11"/>
      <c r="M446" s="12"/>
      <c r="N446" s="11"/>
      <c r="O446" s="13"/>
      <c r="P446" s="12"/>
      <c r="Q446" s="12"/>
      <c r="R446" s="12"/>
      <c r="S446" s="12"/>
    </row>
    <row r="447" ht="15" customHeight="1" s="4" customFormat="1">
      <c r="A447" s="9"/>
      <c r="B447" s="11"/>
      <c r="C447" s="11"/>
      <c r="D447" s="11"/>
      <c r="E447" s="11"/>
      <c r="F447" s="11"/>
      <c r="G447" s="14"/>
      <c r="H447" s="11"/>
      <c r="I447" s="11"/>
      <c r="J447" s="11"/>
      <c r="K447" s="11"/>
      <c r="L447" s="11"/>
      <c r="M447" s="12"/>
      <c r="N447" s="11"/>
      <c r="O447" s="13"/>
      <c r="P447" s="12"/>
      <c r="Q447" s="12"/>
      <c r="R447" s="12"/>
      <c r="S447" s="12"/>
    </row>
    <row r="448" ht="15" customHeight="1" s="4" customFormat="1">
      <c r="A448" s="9"/>
      <c r="B448" s="11"/>
      <c r="C448" s="11"/>
      <c r="D448" s="11"/>
      <c r="E448" s="11"/>
      <c r="F448" s="11"/>
      <c r="G448" s="14"/>
      <c r="H448" s="11"/>
      <c r="I448" s="11"/>
      <c r="J448" s="11"/>
      <c r="K448" s="11"/>
      <c r="L448" s="11"/>
      <c r="M448" s="12"/>
      <c r="N448" s="11"/>
      <c r="O448" s="13"/>
      <c r="P448" s="12"/>
      <c r="Q448" s="12"/>
      <c r="R448" s="12"/>
      <c r="S448" s="12"/>
    </row>
    <row r="449" ht="15" customHeight="1" s="4" customFormat="1">
      <c r="A449" s="9"/>
      <c r="B449" s="11"/>
      <c r="C449" s="11"/>
      <c r="D449" s="11"/>
      <c r="E449" s="11"/>
      <c r="F449" s="11"/>
      <c r="G449" s="14"/>
      <c r="H449" s="11"/>
      <c r="I449" s="11"/>
      <c r="J449" s="11"/>
      <c r="K449" s="11"/>
      <c r="L449" s="11"/>
      <c r="M449" s="12"/>
      <c r="N449" s="11"/>
      <c r="O449" s="13"/>
      <c r="P449" s="12"/>
      <c r="Q449" s="12"/>
      <c r="R449" s="12"/>
      <c r="S449" s="12"/>
    </row>
    <row r="450" ht="15" customHeight="1" s="4" customFormat="1">
      <c r="A450" s="9"/>
      <c r="B450" s="11"/>
      <c r="C450" s="11"/>
      <c r="D450" s="11"/>
      <c r="E450" s="11"/>
      <c r="F450" s="11"/>
      <c r="G450" s="14"/>
      <c r="H450" s="11"/>
      <c r="I450" s="11"/>
      <c r="J450" s="11"/>
      <c r="K450" s="11"/>
      <c r="L450" s="11"/>
      <c r="M450" s="12"/>
      <c r="N450" s="11"/>
      <c r="O450" s="13"/>
      <c r="P450" s="12"/>
      <c r="Q450" s="12"/>
      <c r="R450" s="12"/>
      <c r="S450" s="12"/>
    </row>
    <row r="451" ht="15" customHeight="1" s="4" customFormat="1">
      <c r="A451" s="9"/>
      <c r="B451" s="11"/>
      <c r="C451" s="11"/>
      <c r="D451" s="11"/>
      <c r="E451" s="11"/>
      <c r="F451" s="11"/>
      <c r="G451" s="14"/>
      <c r="H451" s="11"/>
      <c r="I451" s="11"/>
      <c r="J451" s="11"/>
      <c r="K451" s="11"/>
      <c r="L451" s="11"/>
      <c r="M451" s="12"/>
      <c r="N451" s="11"/>
      <c r="O451" s="13"/>
      <c r="P451" s="12"/>
      <c r="Q451" s="12"/>
      <c r="R451" s="12"/>
      <c r="S451" s="12"/>
    </row>
    <row r="452" ht="15" customHeight="1" s="4" customFormat="1">
      <c r="A452" s="9"/>
      <c r="B452" s="11"/>
      <c r="C452" s="11"/>
      <c r="D452" s="11"/>
      <c r="E452" s="11"/>
      <c r="F452" s="11"/>
      <c r="G452" s="14"/>
      <c r="H452" s="11"/>
      <c r="I452" s="11"/>
      <c r="J452" s="11"/>
      <c r="K452" s="11"/>
      <c r="L452" s="11"/>
      <c r="M452" s="12"/>
      <c r="N452" s="11"/>
      <c r="O452" s="13"/>
      <c r="P452" s="12"/>
      <c r="Q452" s="12"/>
      <c r="R452" s="12"/>
      <c r="S452" s="12"/>
    </row>
    <row r="453" ht="15" customHeight="1" s="4" customFormat="1">
      <c r="A453" s="9"/>
      <c r="B453" s="11"/>
      <c r="C453" s="11"/>
      <c r="D453" s="11"/>
      <c r="E453" s="11"/>
      <c r="F453" s="11"/>
      <c r="G453" s="14"/>
      <c r="H453" s="11"/>
      <c r="I453" s="11"/>
      <c r="J453" s="11"/>
      <c r="K453" s="11"/>
      <c r="L453" s="11"/>
      <c r="M453" s="12"/>
      <c r="N453" s="11"/>
      <c r="O453" s="13"/>
      <c r="P453" s="12"/>
      <c r="Q453" s="12"/>
      <c r="R453" s="12"/>
      <c r="S453" s="12"/>
    </row>
    <row r="454" ht="15" customHeight="1" s="4" customFormat="1">
      <c r="A454" s="9"/>
      <c r="B454" s="11"/>
      <c r="C454" s="11"/>
      <c r="D454" s="11"/>
      <c r="E454" s="11"/>
      <c r="F454" s="11"/>
      <c r="G454" s="14"/>
      <c r="H454" s="11"/>
      <c r="I454" s="11"/>
      <c r="J454" s="11"/>
      <c r="K454" s="11"/>
      <c r="L454" s="11"/>
      <c r="M454" s="12"/>
      <c r="N454" s="11"/>
      <c r="O454" s="13"/>
      <c r="P454" s="12"/>
      <c r="Q454" s="12"/>
      <c r="R454" s="12"/>
      <c r="S454" s="12"/>
    </row>
    <row r="455" ht="15" customHeight="1" s="4" customFormat="1">
      <c r="A455" s="9"/>
      <c r="B455" s="11"/>
      <c r="C455" s="11"/>
      <c r="D455" s="11"/>
      <c r="E455" s="11"/>
      <c r="F455" s="11"/>
      <c r="G455" s="14"/>
      <c r="H455" s="11"/>
      <c r="I455" s="11"/>
      <c r="J455" s="11"/>
      <c r="K455" s="11"/>
      <c r="L455" s="11"/>
      <c r="M455" s="12"/>
      <c r="N455" s="11"/>
      <c r="O455" s="13"/>
      <c r="P455" s="12"/>
      <c r="Q455" s="12"/>
      <c r="R455" s="12"/>
      <c r="S455" s="12"/>
    </row>
    <row r="456" ht="15" customHeight="1" s="4" customFormat="1">
      <c r="A456" s="9"/>
      <c r="B456" s="11"/>
      <c r="C456" s="11"/>
      <c r="D456" s="11"/>
      <c r="E456" s="11"/>
      <c r="F456" s="11"/>
      <c r="G456" s="14"/>
      <c r="H456" s="11"/>
      <c r="I456" s="11"/>
      <c r="J456" s="11"/>
      <c r="K456" s="11"/>
      <c r="L456" s="11"/>
      <c r="M456" s="12"/>
      <c r="N456" s="11"/>
      <c r="O456" s="13"/>
      <c r="P456" s="12"/>
      <c r="Q456" s="12"/>
      <c r="R456" s="12"/>
      <c r="S456" s="12"/>
    </row>
    <row r="457" ht="15" customHeight="1" s="4" customFormat="1">
      <c r="A457" s="9"/>
      <c r="B457" s="11"/>
      <c r="C457" s="11"/>
      <c r="D457" s="11"/>
      <c r="E457" s="11"/>
      <c r="F457" s="11"/>
      <c r="G457" s="14"/>
      <c r="H457" s="11"/>
      <c r="I457" s="11"/>
      <c r="J457" s="11"/>
      <c r="K457" s="11"/>
      <c r="L457" s="11"/>
      <c r="M457" s="12"/>
      <c r="N457" s="11"/>
      <c r="O457" s="13"/>
      <c r="P457" s="12"/>
      <c r="Q457" s="12"/>
      <c r="R457" s="12"/>
      <c r="S457" s="12"/>
    </row>
    <row r="458" ht="15" customHeight="1" s="4" customFormat="1">
      <c r="A458" s="9"/>
      <c r="B458" s="11"/>
      <c r="C458" s="11"/>
      <c r="D458" s="11"/>
      <c r="E458" s="11"/>
      <c r="F458" s="11"/>
      <c r="G458" s="14"/>
      <c r="H458" s="11"/>
      <c r="I458" s="11"/>
      <c r="J458" s="11"/>
      <c r="K458" s="11"/>
      <c r="L458" s="11"/>
      <c r="M458" s="12"/>
      <c r="N458" s="11"/>
      <c r="O458" s="13"/>
      <c r="P458" s="12"/>
      <c r="Q458" s="12"/>
      <c r="R458" s="12"/>
      <c r="S458" s="12"/>
    </row>
    <row r="459" ht="15" customHeight="1" s="4" customFormat="1">
      <c r="A459" s="9"/>
      <c r="B459" s="11"/>
      <c r="C459" s="11"/>
      <c r="D459" s="11"/>
      <c r="E459" s="11"/>
      <c r="F459" s="11"/>
      <c r="G459" s="14"/>
      <c r="H459" s="11"/>
      <c r="I459" s="11"/>
      <c r="J459" s="11"/>
      <c r="K459" s="11"/>
      <c r="L459" s="11"/>
      <c r="M459" s="12"/>
      <c r="N459" s="11"/>
      <c r="O459" s="13"/>
      <c r="P459" s="12"/>
      <c r="Q459" s="12"/>
      <c r="R459" s="12"/>
      <c r="S459" s="12"/>
    </row>
    <row r="460" ht="15" customHeight="1" s="4" customFormat="1">
      <c r="A460" s="9"/>
      <c r="B460" s="11"/>
      <c r="C460" s="11"/>
      <c r="D460" s="11"/>
      <c r="E460" s="11"/>
      <c r="F460" s="11"/>
      <c r="G460" s="14"/>
      <c r="H460" s="11"/>
      <c r="I460" s="11"/>
      <c r="J460" s="11"/>
      <c r="K460" s="11"/>
      <c r="L460" s="11"/>
      <c r="M460" s="12"/>
      <c r="N460" s="11"/>
      <c r="O460" s="13"/>
      <c r="P460" s="12"/>
      <c r="Q460" s="12"/>
      <c r="R460" s="12"/>
      <c r="S460" s="12"/>
    </row>
    <row r="461" ht="15" customHeight="1" s="4" customFormat="1">
      <c r="A461" s="9"/>
      <c r="B461" s="11"/>
      <c r="C461" s="11"/>
      <c r="D461" s="11"/>
      <c r="E461" s="11"/>
      <c r="F461" s="11"/>
      <c r="G461" s="14"/>
      <c r="H461" s="11"/>
      <c r="I461" s="11"/>
      <c r="J461" s="11"/>
      <c r="K461" s="11"/>
      <c r="L461" s="11"/>
      <c r="M461" s="12"/>
      <c r="N461" s="11"/>
      <c r="O461" s="13"/>
      <c r="P461" s="12"/>
      <c r="Q461" s="12"/>
      <c r="R461" s="12"/>
      <c r="S461" s="12"/>
    </row>
    <row r="462" ht="15" customHeight="1" s="4" customFormat="1">
      <c r="A462" s="9"/>
      <c r="B462" s="11"/>
      <c r="C462" s="11"/>
      <c r="D462" s="11"/>
      <c r="E462" s="11"/>
      <c r="F462" s="11"/>
      <c r="G462" s="14"/>
      <c r="H462" s="11"/>
      <c r="I462" s="11"/>
      <c r="J462" s="11"/>
      <c r="K462" s="11"/>
      <c r="L462" s="11"/>
      <c r="M462" s="12"/>
      <c r="N462" s="11"/>
      <c r="O462" s="13"/>
      <c r="P462" s="12"/>
      <c r="Q462" s="12"/>
      <c r="R462" s="12"/>
      <c r="S462" s="12"/>
    </row>
    <row r="463" ht="15" customHeight="1" s="4" customFormat="1">
      <c r="A463" s="9"/>
      <c r="B463" s="11"/>
      <c r="C463" s="11"/>
      <c r="D463" s="11"/>
      <c r="E463" s="11"/>
      <c r="F463" s="11"/>
      <c r="G463" s="14"/>
      <c r="H463" s="11"/>
      <c r="I463" s="11"/>
      <c r="J463" s="11"/>
      <c r="K463" s="11"/>
      <c r="L463" s="11"/>
      <c r="M463" s="12"/>
      <c r="N463" s="11"/>
      <c r="O463" s="13"/>
      <c r="P463" s="12"/>
      <c r="Q463" s="12"/>
      <c r="R463" s="12"/>
      <c r="S463" s="12"/>
    </row>
    <row r="464" ht="15" customHeight="1" s="4" customFormat="1">
      <c r="A464" s="9"/>
      <c r="B464" s="11"/>
      <c r="C464" s="11"/>
      <c r="D464" s="11"/>
      <c r="E464" s="11"/>
      <c r="F464" s="11"/>
      <c r="G464" s="14"/>
      <c r="H464" s="11"/>
      <c r="I464" s="11"/>
      <c r="J464" s="11"/>
      <c r="K464" s="11"/>
      <c r="L464" s="11"/>
      <c r="M464" s="12"/>
      <c r="N464" s="11"/>
      <c r="O464" s="13"/>
      <c r="P464" s="12"/>
      <c r="Q464" s="12"/>
      <c r="R464" s="12"/>
      <c r="S464" s="12"/>
    </row>
    <row r="465" ht="15" customHeight="1" s="4" customFormat="1">
      <c r="A465" s="9"/>
      <c r="B465" s="11"/>
      <c r="C465" s="11"/>
      <c r="D465" s="11"/>
      <c r="E465" s="11"/>
      <c r="F465" s="11"/>
      <c r="G465" s="14"/>
      <c r="H465" s="11"/>
      <c r="I465" s="11"/>
      <c r="J465" s="11"/>
      <c r="K465" s="11"/>
      <c r="L465" s="11"/>
      <c r="M465" s="12"/>
      <c r="N465" s="11"/>
      <c r="O465" s="13"/>
      <c r="P465" s="12"/>
      <c r="Q465" s="12"/>
      <c r="R465" s="12"/>
      <c r="S465" s="12"/>
    </row>
    <row r="466" ht="15" customHeight="1" s="4" customFormat="1">
      <c r="A466" s="9"/>
      <c r="B466" s="11"/>
      <c r="C466" s="11"/>
      <c r="D466" s="11"/>
      <c r="E466" s="11"/>
      <c r="F466" s="11"/>
      <c r="G466" s="14"/>
      <c r="H466" s="11"/>
      <c r="I466" s="11"/>
      <c r="J466" s="11"/>
      <c r="K466" s="11"/>
      <c r="L466" s="11"/>
      <c r="M466" s="12"/>
      <c r="N466" s="11"/>
      <c r="O466" s="13"/>
      <c r="P466" s="12"/>
      <c r="Q466" s="12"/>
      <c r="R466" s="12"/>
      <c r="S466" s="12"/>
    </row>
    <row r="467" ht="15" customHeight="1" s="4" customFormat="1">
      <c r="A467" s="9"/>
      <c r="B467" s="11"/>
      <c r="C467" s="11"/>
      <c r="D467" s="11"/>
      <c r="E467" s="11"/>
      <c r="F467" s="11"/>
      <c r="G467" s="14"/>
      <c r="H467" s="11"/>
      <c r="I467" s="11"/>
      <c r="J467" s="11"/>
      <c r="K467" s="11"/>
      <c r="L467" s="11"/>
      <c r="M467" s="12"/>
      <c r="N467" s="11"/>
      <c r="O467" s="13"/>
      <c r="P467" s="12"/>
      <c r="Q467" s="12"/>
      <c r="R467" s="12"/>
      <c r="S467" s="12"/>
    </row>
    <row r="468" ht="15" customHeight="1" s="4" customFormat="1">
      <c r="A468" s="9"/>
      <c r="B468" s="11"/>
      <c r="C468" s="11"/>
      <c r="D468" s="11"/>
      <c r="E468" s="11"/>
      <c r="F468" s="11"/>
      <c r="G468" s="14"/>
      <c r="H468" s="11"/>
      <c r="I468" s="11"/>
      <c r="J468" s="11"/>
      <c r="K468" s="11"/>
      <c r="L468" s="11"/>
      <c r="M468" s="12"/>
      <c r="N468" s="11"/>
      <c r="O468" s="13"/>
      <c r="P468" s="12"/>
      <c r="Q468" s="12"/>
      <c r="R468" s="12"/>
      <c r="S468" s="12"/>
    </row>
    <row r="469" ht="15" customHeight="1" s="4" customFormat="1">
      <c r="A469" s="9"/>
      <c r="B469" s="11"/>
      <c r="C469" s="11"/>
      <c r="D469" s="11"/>
      <c r="E469" s="11"/>
      <c r="F469" s="11"/>
      <c r="G469" s="14"/>
      <c r="H469" s="11"/>
      <c r="I469" s="11"/>
      <c r="J469" s="11"/>
      <c r="K469" s="11"/>
      <c r="L469" s="11"/>
      <c r="M469" s="12"/>
      <c r="N469" s="11"/>
      <c r="O469" s="13"/>
      <c r="P469" s="12"/>
      <c r="Q469" s="12"/>
      <c r="R469" s="12"/>
      <c r="S469" s="12"/>
    </row>
    <row r="470" ht="15" customHeight="1" s="4" customFormat="1">
      <c r="A470" s="9"/>
      <c r="B470" s="11"/>
      <c r="C470" s="11"/>
      <c r="D470" s="11"/>
      <c r="E470" s="11"/>
      <c r="F470" s="11"/>
      <c r="G470" s="14"/>
      <c r="H470" s="11"/>
      <c r="I470" s="11"/>
      <c r="J470" s="11"/>
      <c r="K470" s="11"/>
      <c r="L470" s="11"/>
      <c r="M470" s="12"/>
      <c r="N470" s="11"/>
      <c r="O470" s="13"/>
      <c r="P470" s="12"/>
      <c r="Q470" s="12"/>
      <c r="R470" s="12"/>
      <c r="S470" s="12"/>
    </row>
    <row r="471" ht="15" customHeight="1" s="4" customFormat="1">
      <c r="A471" s="9"/>
      <c r="B471" s="11"/>
      <c r="C471" s="11"/>
      <c r="D471" s="11"/>
      <c r="E471" s="11"/>
      <c r="F471" s="11"/>
      <c r="G471" s="14"/>
      <c r="H471" s="11"/>
      <c r="I471" s="11"/>
      <c r="J471" s="11"/>
      <c r="K471" s="11"/>
      <c r="L471" s="11"/>
      <c r="M471" s="12"/>
      <c r="N471" s="11"/>
      <c r="O471" s="13"/>
      <c r="P471" s="12"/>
      <c r="Q471" s="12"/>
      <c r="R471" s="12"/>
      <c r="S471" s="12"/>
    </row>
    <row r="472" ht="15" customHeight="1" s="4" customFormat="1">
      <c r="A472" s="9"/>
      <c r="B472" s="11"/>
      <c r="C472" s="11"/>
      <c r="D472" s="11"/>
      <c r="E472" s="11"/>
      <c r="F472" s="11"/>
      <c r="G472" s="14"/>
      <c r="H472" s="11"/>
      <c r="I472" s="11"/>
      <c r="J472" s="11"/>
      <c r="K472" s="11"/>
      <c r="L472" s="11"/>
      <c r="M472" s="12"/>
      <c r="N472" s="11"/>
      <c r="O472" s="13"/>
      <c r="P472" s="12"/>
      <c r="Q472" s="12"/>
      <c r="R472" s="12"/>
      <c r="S472" s="12"/>
    </row>
    <row r="473" ht="15" customHeight="1" s="4" customFormat="1">
      <c r="A473" s="9"/>
      <c r="B473" s="11"/>
      <c r="C473" s="11"/>
      <c r="D473" s="11"/>
      <c r="E473" s="11"/>
      <c r="F473" s="11"/>
      <c r="G473" s="14"/>
      <c r="H473" s="11"/>
      <c r="I473" s="11"/>
      <c r="J473" s="11"/>
      <c r="K473" s="11"/>
      <c r="L473" s="11"/>
      <c r="M473" s="12"/>
      <c r="N473" s="11"/>
      <c r="O473" s="13"/>
      <c r="P473" s="12"/>
      <c r="Q473" s="12"/>
      <c r="R473" s="12"/>
      <c r="S473" s="12"/>
    </row>
    <row r="474" ht="15" customHeight="1" s="4" customFormat="1">
      <c r="A474" s="9"/>
      <c r="B474" s="11"/>
      <c r="C474" s="11"/>
      <c r="D474" s="11"/>
      <c r="E474" s="11"/>
      <c r="F474" s="11"/>
      <c r="G474" s="14"/>
      <c r="H474" s="11"/>
      <c r="I474" s="11"/>
      <c r="J474" s="11"/>
      <c r="K474" s="11"/>
      <c r="L474" s="11"/>
      <c r="M474" s="12"/>
      <c r="N474" s="11"/>
      <c r="O474" s="13"/>
      <c r="P474" s="12"/>
      <c r="Q474" s="12"/>
      <c r="R474" s="12"/>
      <c r="S474" s="12"/>
    </row>
    <row r="475" ht="15" customHeight="1" s="4" customFormat="1">
      <c r="A475" s="9"/>
      <c r="B475" s="11"/>
      <c r="C475" s="11"/>
      <c r="D475" s="11"/>
      <c r="E475" s="11"/>
      <c r="F475" s="11"/>
      <c r="G475" s="14"/>
      <c r="H475" s="11"/>
      <c r="I475" s="11"/>
      <c r="J475" s="11"/>
      <c r="K475" s="11"/>
      <c r="L475" s="11"/>
      <c r="M475" s="12"/>
      <c r="N475" s="11"/>
      <c r="O475" s="13"/>
      <c r="P475" s="12"/>
      <c r="Q475" s="12"/>
      <c r="R475" s="12"/>
      <c r="S475" s="12"/>
    </row>
    <row r="476" ht="15" customHeight="1" s="4" customFormat="1">
      <c r="A476" s="9"/>
      <c r="B476" s="11"/>
      <c r="C476" s="11"/>
      <c r="D476" s="11"/>
      <c r="E476" s="11"/>
      <c r="F476" s="11"/>
      <c r="G476" s="14"/>
      <c r="H476" s="11"/>
      <c r="I476" s="11"/>
      <c r="J476" s="11"/>
      <c r="K476" s="11"/>
      <c r="L476" s="11"/>
      <c r="M476" s="12"/>
      <c r="N476" s="11"/>
      <c r="O476" s="13"/>
      <c r="P476" s="12"/>
      <c r="Q476" s="12"/>
      <c r="R476" s="12"/>
      <c r="S476" s="12"/>
    </row>
    <row r="477" ht="15" customHeight="1" s="4" customFormat="1">
      <c r="A477" s="9"/>
      <c r="B477" s="11"/>
      <c r="C477" s="11"/>
      <c r="D477" s="11"/>
      <c r="E477" s="11"/>
      <c r="F477" s="11"/>
      <c r="G477" s="14"/>
      <c r="H477" s="11"/>
      <c r="I477" s="11"/>
      <c r="J477" s="11"/>
      <c r="K477" s="11"/>
      <c r="L477" s="11"/>
      <c r="M477" s="12"/>
      <c r="N477" s="11"/>
      <c r="O477" s="13"/>
      <c r="P477" s="12"/>
      <c r="Q477" s="12"/>
      <c r="R477" s="12"/>
      <c r="S477" s="12"/>
    </row>
    <row r="478" ht="15" customHeight="1" s="4" customFormat="1">
      <c r="A478" s="9"/>
      <c r="B478" s="11"/>
      <c r="C478" s="11"/>
      <c r="D478" s="11"/>
      <c r="E478" s="11"/>
      <c r="F478" s="11"/>
      <c r="G478" s="14"/>
      <c r="H478" s="11"/>
      <c r="I478" s="11"/>
      <c r="J478" s="11"/>
      <c r="K478" s="11"/>
      <c r="L478" s="11"/>
      <c r="M478" s="12"/>
      <c r="N478" s="11"/>
      <c r="O478" s="13"/>
      <c r="P478" s="12"/>
      <c r="Q478" s="12"/>
      <c r="R478" s="12"/>
      <c r="S478" s="12"/>
    </row>
    <row r="479" ht="15" customHeight="1" s="4" customFormat="1">
      <c r="A479" s="9"/>
      <c r="B479" s="11"/>
      <c r="C479" s="11"/>
      <c r="D479" s="11"/>
      <c r="E479" s="11"/>
      <c r="F479" s="11"/>
      <c r="G479" s="14"/>
      <c r="H479" s="11"/>
      <c r="I479" s="11"/>
      <c r="J479" s="11"/>
      <c r="K479" s="11"/>
      <c r="L479" s="11"/>
      <c r="M479" s="12"/>
      <c r="N479" s="11"/>
      <c r="O479" s="13"/>
      <c r="P479" s="12"/>
      <c r="Q479" s="12"/>
      <c r="R479" s="12"/>
      <c r="S479" s="12"/>
    </row>
    <row r="480" ht="15" customHeight="1" s="4" customFormat="1">
      <c r="A480" s="9"/>
      <c r="B480" s="11"/>
      <c r="C480" s="11"/>
      <c r="D480" s="11"/>
      <c r="E480" s="11"/>
      <c r="F480" s="11"/>
      <c r="G480" s="14"/>
      <c r="H480" s="11"/>
      <c r="I480" s="11"/>
      <c r="J480" s="11"/>
      <c r="K480" s="11"/>
      <c r="L480" s="11"/>
      <c r="M480" s="12"/>
      <c r="N480" s="11"/>
      <c r="O480" s="13"/>
      <c r="P480" s="12"/>
      <c r="Q480" s="12"/>
      <c r="R480" s="12"/>
      <c r="S480" s="12"/>
    </row>
    <row r="481" ht="15" customHeight="1" s="4" customFormat="1">
      <c r="A481" s="9"/>
      <c r="B481" s="11"/>
      <c r="C481" s="11"/>
      <c r="D481" s="11"/>
      <c r="E481" s="11"/>
      <c r="F481" s="11"/>
      <c r="G481" s="14"/>
      <c r="H481" s="11"/>
      <c r="I481" s="11"/>
      <c r="J481" s="11"/>
      <c r="K481" s="11"/>
      <c r="L481" s="11"/>
      <c r="M481" s="12"/>
      <c r="N481" s="11"/>
      <c r="O481" s="13"/>
      <c r="P481" s="12"/>
      <c r="Q481" s="12"/>
      <c r="R481" s="12"/>
      <c r="S481" s="12"/>
    </row>
    <row r="482" ht="15" customHeight="1" s="4" customFormat="1">
      <c r="A482" s="9"/>
      <c r="B482" s="11"/>
      <c r="C482" s="11"/>
      <c r="D482" s="11"/>
      <c r="E482" s="11"/>
      <c r="F482" s="11"/>
      <c r="G482" s="14"/>
      <c r="H482" s="11"/>
      <c r="I482" s="11"/>
      <c r="J482" s="11"/>
      <c r="K482" s="11"/>
      <c r="L482" s="11"/>
      <c r="M482" s="12"/>
      <c r="N482" s="11"/>
      <c r="O482" s="13"/>
      <c r="P482" s="12"/>
      <c r="Q482" s="12"/>
      <c r="R482" s="12"/>
      <c r="S482" s="12"/>
    </row>
    <row r="483" ht="15" customHeight="1" s="4" customFormat="1">
      <c r="A483" s="9"/>
      <c r="B483" s="11"/>
      <c r="C483" s="11"/>
      <c r="D483" s="11"/>
      <c r="E483" s="11"/>
      <c r="F483" s="11"/>
      <c r="G483" s="14"/>
      <c r="H483" s="11"/>
      <c r="I483" s="11"/>
      <c r="J483" s="11"/>
      <c r="K483" s="11"/>
      <c r="L483" s="11"/>
      <c r="M483" s="12"/>
      <c r="N483" s="11"/>
      <c r="O483" s="13"/>
      <c r="P483" s="12"/>
      <c r="Q483" s="12"/>
      <c r="R483" s="12"/>
      <c r="S483" s="12"/>
    </row>
    <row r="484" ht="15" customHeight="1" s="4" customFormat="1">
      <c r="A484" s="9"/>
      <c r="B484" s="11"/>
      <c r="C484" s="11"/>
      <c r="D484" s="11"/>
      <c r="E484" s="11"/>
      <c r="F484" s="11"/>
      <c r="G484" s="14"/>
      <c r="H484" s="11"/>
      <c r="I484" s="11"/>
      <c r="J484" s="11"/>
      <c r="K484" s="11"/>
      <c r="L484" s="11"/>
      <c r="M484" s="12"/>
      <c r="N484" s="11"/>
      <c r="O484" s="13"/>
      <c r="P484" s="12"/>
      <c r="Q484" s="12"/>
      <c r="R484" s="12"/>
      <c r="S484" s="12"/>
    </row>
    <row r="485" ht="15" customHeight="1" s="4" customFormat="1">
      <c r="A485" s="9"/>
      <c r="B485" s="11"/>
      <c r="C485" s="11"/>
      <c r="D485" s="11"/>
      <c r="E485" s="11"/>
      <c r="F485" s="11"/>
      <c r="G485" s="14"/>
      <c r="H485" s="11"/>
      <c r="I485" s="11"/>
      <c r="J485" s="11"/>
      <c r="K485" s="11"/>
      <c r="L485" s="11"/>
      <c r="M485" s="12"/>
      <c r="N485" s="11"/>
      <c r="O485" s="13"/>
      <c r="P485" s="12"/>
      <c r="Q485" s="12"/>
      <c r="R485" s="12"/>
      <c r="S485" s="12"/>
    </row>
    <row r="486" ht="15" customHeight="1" s="4" customFormat="1">
      <c r="A486" s="9"/>
      <c r="B486" s="11"/>
      <c r="C486" s="11"/>
      <c r="D486" s="11"/>
      <c r="E486" s="11"/>
      <c r="F486" s="11"/>
      <c r="G486" s="14"/>
      <c r="H486" s="11"/>
      <c r="I486" s="11"/>
      <c r="J486" s="11"/>
      <c r="K486" s="11"/>
      <c r="L486" s="11"/>
      <c r="M486" s="12"/>
      <c r="N486" s="11"/>
      <c r="O486" s="13"/>
      <c r="P486" s="12"/>
      <c r="Q486" s="12"/>
      <c r="R486" s="12"/>
      <c r="S486" s="12"/>
    </row>
    <row r="487" ht="15" customHeight="1" s="4" customFormat="1">
      <c r="A487" s="9"/>
      <c r="B487" s="11"/>
      <c r="C487" s="11"/>
      <c r="D487" s="11"/>
      <c r="E487" s="11"/>
      <c r="F487" s="11"/>
      <c r="G487" s="14"/>
      <c r="H487" s="11"/>
      <c r="I487" s="11"/>
      <c r="J487" s="11"/>
      <c r="K487" s="11"/>
      <c r="L487" s="11"/>
      <c r="M487" s="12"/>
      <c r="N487" s="11"/>
      <c r="O487" s="13"/>
      <c r="P487" s="12"/>
      <c r="Q487" s="12"/>
      <c r="R487" s="12"/>
      <c r="S487" s="12"/>
    </row>
    <row r="488" ht="15" customHeight="1" s="4" customFormat="1">
      <c r="A488" s="9"/>
      <c r="B488" s="11"/>
      <c r="C488" s="11"/>
      <c r="D488" s="11"/>
      <c r="E488" s="11"/>
      <c r="F488" s="11"/>
      <c r="G488" s="14"/>
      <c r="H488" s="11"/>
      <c r="I488" s="11"/>
      <c r="J488" s="11"/>
      <c r="K488" s="11"/>
      <c r="L488" s="11"/>
      <c r="M488" s="12"/>
      <c r="N488" s="11"/>
      <c r="O488" s="13"/>
      <c r="P488" s="12"/>
      <c r="Q488" s="12"/>
      <c r="R488" s="12"/>
      <c r="S488" s="12"/>
    </row>
    <row r="489" ht="15" customHeight="1" s="4" customFormat="1">
      <c r="A489" s="9"/>
      <c r="B489" s="11"/>
      <c r="C489" s="11"/>
      <c r="D489" s="11"/>
      <c r="E489" s="11"/>
      <c r="F489" s="11"/>
      <c r="G489" s="14"/>
      <c r="H489" s="11"/>
      <c r="I489" s="11"/>
      <c r="J489" s="11"/>
      <c r="K489" s="11"/>
      <c r="L489" s="11"/>
      <c r="M489" s="12"/>
      <c r="N489" s="11"/>
      <c r="O489" s="13"/>
      <c r="P489" s="12"/>
      <c r="Q489" s="12"/>
      <c r="R489" s="12"/>
      <c r="S489" s="12"/>
    </row>
    <row r="490" ht="15" customHeight="1" s="4" customFormat="1">
      <c r="A490" s="9"/>
      <c r="B490" s="11"/>
      <c r="C490" s="11"/>
      <c r="D490" s="11"/>
      <c r="E490" s="11"/>
      <c r="F490" s="11"/>
      <c r="G490" s="14"/>
      <c r="H490" s="11"/>
      <c r="I490" s="11"/>
      <c r="J490" s="11"/>
      <c r="K490" s="11"/>
      <c r="L490" s="11"/>
      <c r="M490" s="12"/>
      <c r="N490" s="11"/>
      <c r="O490" s="13"/>
      <c r="P490" s="12"/>
      <c r="Q490" s="12"/>
      <c r="R490" s="12"/>
      <c r="S490" s="12"/>
    </row>
    <row r="491" ht="15" customHeight="1" s="4" customFormat="1">
      <c r="A491" s="9"/>
      <c r="B491" s="11"/>
      <c r="C491" s="11"/>
      <c r="D491" s="11"/>
      <c r="E491" s="11"/>
      <c r="F491" s="11"/>
      <c r="G491" s="14"/>
      <c r="H491" s="11"/>
      <c r="I491" s="11"/>
      <c r="J491" s="11"/>
      <c r="K491" s="11"/>
      <c r="L491" s="11"/>
      <c r="M491" s="12"/>
      <c r="N491" s="11"/>
      <c r="O491" s="13"/>
      <c r="P491" s="12"/>
      <c r="Q491" s="12"/>
      <c r="R491" s="12"/>
      <c r="S491" s="12"/>
    </row>
    <row r="492" ht="15" customHeight="1" s="4" customFormat="1">
      <c r="A492" s="9"/>
      <c r="B492" s="11"/>
      <c r="C492" s="11"/>
      <c r="D492" s="11"/>
      <c r="E492" s="11"/>
      <c r="F492" s="11"/>
      <c r="G492" s="14"/>
      <c r="H492" s="11"/>
      <c r="I492" s="11"/>
      <c r="J492" s="11"/>
      <c r="K492" s="11"/>
      <c r="L492" s="11"/>
      <c r="M492" s="12"/>
      <c r="N492" s="11"/>
      <c r="O492" s="13"/>
      <c r="P492" s="12"/>
      <c r="Q492" s="12"/>
      <c r="R492" s="12"/>
      <c r="S492" s="12"/>
    </row>
    <row r="493" ht="15" customHeight="1" s="4" customFormat="1">
      <c r="A493" s="9"/>
      <c r="B493" s="11"/>
      <c r="C493" s="11"/>
      <c r="D493" s="11"/>
      <c r="E493" s="11"/>
      <c r="F493" s="11"/>
      <c r="G493" s="14"/>
      <c r="H493" s="11"/>
      <c r="I493" s="11"/>
      <c r="J493" s="11"/>
      <c r="K493" s="11"/>
      <c r="L493" s="11"/>
      <c r="M493" s="12"/>
      <c r="N493" s="11"/>
      <c r="O493" s="13"/>
      <c r="P493" s="12"/>
      <c r="Q493" s="12"/>
      <c r="R493" s="12"/>
      <c r="S493" s="12"/>
    </row>
    <row r="494" ht="15" customHeight="1" s="4" customFormat="1">
      <c r="A494" s="9"/>
      <c r="B494" s="11"/>
      <c r="C494" s="11"/>
      <c r="D494" s="11"/>
      <c r="E494" s="11"/>
      <c r="F494" s="11"/>
      <c r="G494" s="14"/>
      <c r="H494" s="11"/>
      <c r="I494" s="11"/>
      <c r="J494" s="11"/>
      <c r="K494" s="11"/>
      <c r="L494" s="11"/>
      <c r="M494" s="12"/>
      <c r="N494" s="11"/>
      <c r="O494" s="13"/>
      <c r="P494" s="12"/>
      <c r="Q494" s="12"/>
      <c r="R494" s="12"/>
      <c r="S494" s="12"/>
    </row>
    <row r="495" ht="15" customHeight="1" s="4" customFormat="1">
      <c r="A495" s="9"/>
      <c r="B495" s="11"/>
      <c r="C495" s="11"/>
      <c r="D495" s="11"/>
      <c r="E495" s="11"/>
      <c r="F495" s="11"/>
      <c r="G495" s="14"/>
      <c r="H495" s="11"/>
      <c r="I495" s="11"/>
      <c r="J495" s="11"/>
      <c r="K495" s="11"/>
      <c r="L495" s="11"/>
      <c r="M495" s="12"/>
      <c r="N495" s="11"/>
      <c r="O495" s="13"/>
      <c r="P495" s="12"/>
      <c r="Q495" s="12"/>
      <c r="R495" s="12"/>
      <c r="S495" s="12"/>
    </row>
    <row r="496" ht="15" customHeight="1" s="4" customFormat="1">
      <c r="A496" s="9"/>
      <c r="B496" s="11"/>
      <c r="C496" s="11"/>
      <c r="D496" s="11"/>
      <c r="E496" s="11"/>
      <c r="F496" s="11"/>
      <c r="G496" s="14"/>
      <c r="H496" s="11"/>
      <c r="I496" s="11"/>
      <c r="J496" s="11"/>
      <c r="K496" s="11"/>
      <c r="L496" s="11"/>
      <c r="M496" s="12"/>
      <c r="N496" s="11"/>
      <c r="O496" s="13"/>
      <c r="P496" s="12"/>
      <c r="Q496" s="12"/>
      <c r="R496" s="12"/>
      <c r="S496" s="12"/>
    </row>
    <row r="497" ht="15" customHeight="1" s="4" customFormat="1">
      <c r="A497" s="9"/>
      <c r="B497" s="11"/>
      <c r="C497" s="11"/>
      <c r="D497" s="11"/>
      <c r="E497" s="11"/>
      <c r="F497" s="11"/>
      <c r="G497" s="14"/>
      <c r="H497" s="11"/>
      <c r="I497" s="11"/>
      <c r="J497" s="11"/>
      <c r="K497" s="11"/>
      <c r="L497" s="11"/>
      <c r="M497" s="12"/>
      <c r="N497" s="11"/>
      <c r="O497" s="13"/>
      <c r="P497" s="12"/>
      <c r="Q497" s="12"/>
      <c r="R497" s="12"/>
      <c r="S497" s="12"/>
    </row>
    <row r="498" ht="15" customHeight="1" s="4" customFormat="1">
      <c r="A498" s="9"/>
      <c r="B498" s="11"/>
      <c r="C498" s="11"/>
      <c r="D498" s="11"/>
      <c r="E498" s="11"/>
      <c r="F498" s="11"/>
      <c r="G498" s="14"/>
      <c r="H498" s="11"/>
      <c r="I498" s="11"/>
      <c r="J498" s="11"/>
      <c r="K498" s="11"/>
      <c r="L498" s="11"/>
      <c r="M498" s="12"/>
      <c r="N498" s="11"/>
      <c r="O498" s="13"/>
      <c r="P498" s="12"/>
      <c r="Q498" s="12"/>
      <c r="R498" s="12"/>
      <c r="S498" s="12"/>
    </row>
    <row r="499" ht="15" customHeight="1" s="4" customFormat="1">
      <c r="A499" s="9"/>
      <c r="B499" s="11"/>
      <c r="C499" s="11"/>
      <c r="D499" s="11"/>
      <c r="E499" s="11"/>
      <c r="F499" s="11"/>
      <c r="G499" s="14"/>
      <c r="H499" s="11"/>
      <c r="I499" s="11"/>
      <c r="J499" s="11"/>
      <c r="K499" s="11"/>
      <c r="L499" s="11"/>
      <c r="M499" s="12"/>
      <c r="N499" s="11"/>
      <c r="O499" s="13"/>
      <c r="P499" s="12"/>
      <c r="Q499" s="12"/>
      <c r="R499" s="12"/>
      <c r="S499" s="12"/>
    </row>
    <row r="500" ht="15" customHeight="1" s="4" customFormat="1">
      <c r="A500" s="9"/>
      <c r="B500" s="11"/>
      <c r="C500" s="11"/>
      <c r="D500" s="11"/>
      <c r="E500" s="11"/>
      <c r="F500" s="11"/>
      <c r="G500" s="14"/>
      <c r="H500" s="11"/>
      <c r="I500" s="11"/>
      <c r="J500" s="11"/>
      <c r="K500" s="11"/>
      <c r="L500" s="11"/>
      <c r="M500" s="12"/>
      <c r="N500" s="11"/>
      <c r="O500" s="13"/>
      <c r="P500" s="12"/>
      <c r="Q500" s="12"/>
      <c r="R500" s="12"/>
      <c r="S500" s="12"/>
    </row>
  </sheetData>
  <mergeCells>
    <mergeCell ref="B2:S2"/>
  </mergeCells>
  <pageMargins left="0.7" right="0.7" top="0.75" bottom="0.75" header="0.3" footer="0.3"/>
  <pageSetup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3B519-3022-4786-8F81-DFBADBD103EB}">
  <sheetPr codeName="Sheet3"/>
  <dimension ref="A1:S500"/>
  <sheetViews>
    <sheetView workbookViewId="0">
      <selection activeCell="A5" sqref="A5"/>
    </sheetView>
  </sheetViews>
  <sheetFormatPr defaultColWidth="9.109375" defaultRowHeight="13.2" x14ac:dyDescent="0.25"/>
  <cols>
    <col min="1" max="1" width="34" customWidth="1" style="3"/>
    <col min="2" max="2" width="13.109375" customWidth="1" style="3"/>
    <col min="3" max="3" width="21" customWidth="1" style="3"/>
    <col min="4" max="4" width="16.5546875" customWidth="1" style="3"/>
    <col min="5" max="5" width="13.44140625" customWidth="1" style="3"/>
    <col min="6" max="6" width="12.5546875" customWidth="1" style="3"/>
    <col min="7" max="7" width="15.33203125" customWidth="1" style="3"/>
    <col min="8" max="8" width="20.6640625" customWidth="1" style="3"/>
    <col min="9" max="9" width="21.88671875" customWidth="1" style="3"/>
    <col min="10" max="10" width="19.6640625" customWidth="1" style="3"/>
    <col min="11" max="11" width="6" customWidth="1" style="3"/>
    <col min="12" max="12" width="17" customWidth="1" style="3"/>
    <col min="13" max="13" width="25.88671875" customWidth="1" style="3"/>
    <col min="14" max="14" width="21" customWidth="1" style="3"/>
    <col min="15" max="15" width="25.88671875" customWidth="1" style="3"/>
    <col min="16" max="16" bestFit="1" width="36.5546875" customWidth="1" style="3"/>
    <col min="17" max="17" width="24.5546875" customWidth="1" style="3"/>
    <col min="18" max="18" width="33" customWidth="1" style="3"/>
    <col min="19" max="19" width="17.44140625" customWidth="1" style="3"/>
    <col min="20" max="16384" width="9.109375" customWidth="1" style="3"/>
  </cols>
  <sheetData>
    <row r="1" ht="15" customHeight="1" s="4" customFormat="1">
      <c r="A1" s="5"/>
    </row>
    <row r="2" ht="25.5" customHeight="1" s="4" customFormat="1">
      <c r="A2" s="6" t="s">
        <v>0</v>
      </c>
      <c r="B2" s="7" t="s">
        <v>1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</row>
    <row r="3" ht="15" customHeight="1" s="4" customFormat="1">
      <c r="A3" s="8" t="s">
        <v>2</v>
      </c>
      <c r="B3" s="8" t="s">
        <v>3</v>
      </c>
      <c r="C3" s="8" t="s">
        <v>4</v>
      </c>
      <c r="D3" s="8" t="s">
        <v>26</v>
      </c>
      <c r="E3" s="8" t="s">
        <v>40</v>
      </c>
      <c r="F3" s="8" t="s">
        <v>28</v>
      </c>
      <c r="G3" s="8" t="s">
        <v>5</v>
      </c>
      <c r="H3" s="8" t="s">
        <v>12</v>
      </c>
      <c r="I3" s="8" t="s">
        <v>29</v>
      </c>
      <c r="J3" s="8" t="s">
        <v>30</v>
      </c>
      <c r="K3" s="8" t="s">
        <v>16</v>
      </c>
      <c r="L3" s="8" t="s">
        <v>17</v>
      </c>
      <c r="M3" s="8" t="s">
        <v>32</v>
      </c>
      <c r="N3" s="8" t="s">
        <v>18</v>
      </c>
      <c r="O3" s="8" t="s">
        <v>41</v>
      </c>
      <c r="P3" s="8" t="s">
        <v>35</v>
      </c>
      <c r="Q3" s="8" t="s">
        <v>36</v>
      </c>
      <c r="R3" s="8" t="s">
        <v>42</v>
      </c>
      <c r="S3" s="8" t="s">
        <v>6</v>
      </c>
    </row>
    <row r="4" ht="15" customHeight="1" s="4" customFormat="1">
      <c r="A4" s="15">
        <v>45875</v>
      </c>
      <c r="B4" s="74">
        <v>102702</v>
      </c>
      <c r="C4" s="11" t="s">
        <v>20</v>
      </c>
      <c r="D4" s="11" t="s">
        <v>43</v>
      </c>
      <c r="E4" s="11" t="s">
        <v>39</v>
      </c>
      <c r="F4" s="73">
        <v>4</v>
      </c>
      <c r="G4" s="11" t="s">
        <v>21</v>
      </c>
      <c r="H4" s="11" t="s">
        <v>24</v>
      </c>
      <c r="I4" s="74">
        <v>9</v>
      </c>
      <c r="J4" s="74">
        <v>25</v>
      </c>
      <c r="K4" s="11" t="s">
        <v>20</v>
      </c>
      <c r="L4" s="12" t="s">
        <v>20</v>
      </c>
      <c r="M4" s="11" t="s">
        <v>22</v>
      </c>
      <c r="N4" s="75">
        <v>6327.25</v>
      </c>
      <c r="O4" s="11" t="s">
        <v>44</v>
      </c>
      <c r="P4" s="75">
        <v>-3.6</v>
      </c>
      <c r="Q4" s="75">
        <v>-5.6</v>
      </c>
      <c r="R4" s="73">
        <v>0</v>
      </c>
      <c r="S4" s="15">
        <v>45875</v>
      </c>
    </row>
    <row r="5" ht="15.75" customHeight="1" s="4" customFormat="1">
      <c r="A5" s="15">
        <v>45875</v>
      </c>
      <c r="B5" s="74">
        <v>102703</v>
      </c>
      <c r="C5" s="11" t="s">
        <v>20</v>
      </c>
      <c r="D5" s="11" t="s">
        <v>43</v>
      </c>
      <c r="E5" s="11" t="s">
        <v>39</v>
      </c>
      <c r="F5" s="73">
        <v>1</v>
      </c>
      <c r="G5" s="11" t="s">
        <v>21</v>
      </c>
      <c r="H5" s="11" t="s">
        <v>24</v>
      </c>
      <c r="I5" s="74">
        <v>9</v>
      </c>
      <c r="J5" s="74">
        <v>25</v>
      </c>
      <c r="K5" s="11" t="s">
        <v>20</v>
      </c>
      <c r="L5" s="12" t="s">
        <v>20</v>
      </c>
      <c r="M5" s="11" t="s">
        <v>22</v>
      </c>
      <c r="N5" s="73">
        <v>6327</v>
      </c>
      <c r="O5" s="11" t="s">
        <v>44</v>
      </c>
      <c r="P5" s="75">
        <v>-0.9</v>
      </c>
      <c r="Q5" s="75">
        <v>-1.4</v>
      </c>
      <c r="R5" s="73">
        <v>0</v>
      </c>
      <c r="S5" s="15">
        <v>45875</v>
      </c>
    </row>
    <row r="6" ht="15" customHeight="1" s="4" customFormat="1">
      <c r="A6" s="15"/>
      <c r="B6" s="11"/>
      <c r="C6" s="11"/>
      <c r="D6" s="11"/>
      <c r="E6" s="11"/>
      <c r="F6" s="12"/>
      <c r="G6" s="11"/>
      <c r="H6" s="11"/>
      <c r="I6" s="11"/>
      <c r="J6" s="11"/>
      <c r="K6" s="11"/>
      <c r="L6" s="12"/>
      <c r="M6" s="11"/>
      <c r="N6" s="13"/>
      <c r="O6" s="11"/>
      <c r="P6" s="12"/>
      <c r="Q6" s="12"/>
      <c r="R6" s="12"/>
      <c r="S6" s="15"/>
    </row>
    <row r="7" ht="15" customHeight="1" s="4" customFormat="1">
      <c r="A7" s="15"/>
      <c r="B7" s="11"/>
      <c r="C7" s="11"/>
      <c r="D7" s="11"/>
      <c r="E7" s="11"/>
      <c r="F7" s="12"/>
      <c r="G7" s="11"/>
      <c r="H7" s="11"/>
      <c r="I7" s="11"/>
      <c r="J7" s="11"/>
      <c r="K7" s="11"/>
      <c r="L7" s="12"/>
      <c r="M7" s="11"/>
      <c r="N7" s="13"/>
      <c r="O7" s="11"/>
      <c r="P7" s="12"/>
      <c r="Q7" s="12"/>
      <c r="R7" s="12"/>
      <c r="S7" s="15"/>
    </row>
    <row r="8" ht="15" customHeight="1" s="4" customFormat="1">
      <c r="A8" s="15"/>
      <c r="B8" s="11"/>
      <c r="C8" s="11"/>
      <c r="D8" s="11"/>
      <c r="E8" s="11"/>
      <c r="F8" s="12"/>
      <c r="G8" s="11"/>
      <c r="H8" s="11"/>
      <c r="I8" s="11"/>
      <c r="J8" s="11"/>
      <c r="K8" s="11"/>
      <c r="L8" s="12"/>
      <c r="M8" s="11"/>
      <c r="N8" s="13"/>
      <c r="O8" s="11"/>
      <c r="P8" s="12"/>
      <c r="Q8" s="12"/>
      <c r="R8" s="12"/>
      <c r="S8" s="15"/>
    </row>
    <row r="9" ht="15" customHeight="1" s="4" customFormat="1">
      <c r="A9" s="15"/>
      <c r="B9" s="11"/>
      <c r="C9" s="11"/>
      <c r="D9" s="11"/>
      <c r="E9" s="11"/>
      <c r="F9" s="12"/>
      <c r="G9" s="11"/>
      <c r="H9" s="11"/>
      <c r="I9" s="11"/>
      <c r="J9" s="11"/>
      <c r="K9" s="11"/>
      <c r="L9" s="12"/>
      <c r="M9" s="11"/>
      <c r="N9" s="13"/>
      <c r="O9" s="11"/>
      <c r="P9" s="12"/>
      <c r="Q9" s="12"/>
      <c r="R9" s="12"/>
      <c r="S9" s="15"/>
    </row>
    <row r="10" ht="15" customHeight="1" s="4" customFormat="1">
      <c r="A10" s="15"/>
      <c r="B10" s="11"/>
      <c r="C10" s="11"/>
      <c r="D10" s="11"/>
      <c r="E10" s="11"/>
      <c r="F10" s="12"/>
      <c r="G10" s="11"/>
      <c r="H10" s="11"/>
      <c r="I10" s="11"/>
      <c r="J10" s="11"/>
      <c r="K10" s="11"/>
      <c r="L10" s="12"/>
      <c r="M10" s="11"/>
      <c r="N10" s="13"/>
      <c r="O10" s="11"/>
      <c r="P10" s="12"/>
      <c r="Q10" s="12"/>
      <c r="R10" s="12"/>
      <c r="S10" s="15"/>
    </row>
    <row r="11" ht="15" customHeight="1" s="4" customFormat="1">
      <c r="A11" s="15"/>
      <c r="B11" s="11"/>
      <c r="C11" s="11"/>
      <c r="D11" s="11"/>
      <c r="E11" s="11"/>
      <c r="F11" s="12"/>
      <c r="G11" s="11"/>
      <c r="H11" s="11"/>
      <c r="I11" s="11"/>
      <c r="J11" s="11"/>
      <c r="K11" s="11"/>
      <c r="L11" s="12"/>
      <c r="M11" s="11"/>
      <c r="N11" s="13"/>
      <c r="O11" s="11"/>
      <c r="P11" s="12"/>
      <c r="Q11" s="12"/>
      <c r="R11" s="12"/>
      <c r="S11" s="15"/>
    </row>
    <row r="12" ht="15" customHeight="1" s="4" customFormat="1">
      <c r="A12" s="15"/>
      <c r="B12" s="11"/>
      <c r="C12" s="11"/>
      <c r="D12" s="11"/>
      <c r="E12" s="11"/>
      <c r="F12" s="12"/>
      <c r="G12" s="11"/>
      <c r="H12" s="11"/>
      <c r="I12" s="11"/>
      <c r="J12" s="11"/>
      <c r="K12" s="11"/>
      <c r="L12" s="12"/>
      <c r="M12" s="11"/>
      <c r="N12" s="13"/>
      <c r="O12" s="11"/>
      <c r="P12" s="12"/>
      <c r="Q12" s="12"/>
      <c r="R12" s="12"/>
      <c r="S12" s="15"/>
    </row>
    <row r="13" ht="15" customHeight="1" s="4" customFormat="1">
      <c r="A13" s="15"/>
      <c r="B13" s="11"/>
      <c r="C13" s="11"/>
      <c r="D13" s="11"/>
      <c r="E13" s="11"/>
      <c r="F13" s="12"/>
      <c r="G13" s="11"/>
      <c r="H13" s="11"/>
      <c r="I13" s="11"/>
      <c r="J13" s="11"/>
      <c r="K13" s="11"/>
      <c r="L13" s="12"/>
      <c r="M13" s="11"/>
      <c r="N13" s="13"/>
      <c r="O13" s="11"/>
      <c r="P13" s="12"/>
      <c r="Q13" s="12"/>
      <c r="R13" s="12"/>
      <c r="S13" s="15"/>
    </row>
    <row r="14" ht="15" customHeight="1" s="4" customFormat="1">
      <c r="A14" s="15"/>
      <c r="B14" s="11"/>
      <c r="C14" s="11"/>
      <c r="D14" s="11"/>
      <c r="E14" s="11"/>
      <c r="F14" s="12"/>
      <c r="G14" s="11"/>
      <c r="H14" s="11"/>
      <c r="I14" s="11"/>
      <c r="J14" s="11"/>
      <c r="K14" s="11"/>
      <c r="L14" s="12"/>
      <c r="M14" s="11"/>
      <c r="N14" s="13"/>
      <c r="O14" s="11"/>
      <c r="P14" s="12"/>
      <c r="Q14" s="12"/>
      <c r="R14" s="12"/>
      <c r="S14" s="15"/>
    </row>
    <row r="15" ht="15" customHeight="1" s="4" customFormat="1">
      <c r="A15" s="15"/>
      <c r="B15" s="11"/>
      <c r="C15" s="11"/>
      <c r="D15" s="11"/>
      <c r="E15" s="11"/>
      <c r="F15" s="12"/>
      <c r="G15" s="11"/>
      <c r="H15" s="11"/>
      <c r="I15" s="11"/>
      <c r="J15" s="11"/>
      <c r="K15" s="11"/>
      <c r="L15" s="12"/>
      <c r="M15" s="11"/>
      <c r="N15" s="13"/>
      <c r="O15" s="11"/>
      <c r="P15" s="12"/>
      <c r="Q15" s="12"/>
      <c r="R15" s="12"/>
      <c r="S15" s="15"/>
    </row>
    <row r="16" ht="15" customHeight="1" s="4" customFormat="1">
      <c r="A16" s="15"/>
      <c r="B16" s="11"/>
      <c r="C16" s="11"/>
      <c r="D16" s="11"/>
      <c r="E16" s="11"/>
      <c r="F16" s="12"/>
      <c r="G16" s="11"/>
      <c r="H16" s="11"/>
      <c r="I16" s="11"/>
      <c r="J16" s="11"/>
      <c r="K16" s="11"/>
      <c r="L16" s="12"/>
      <c r="M16" s="11"/>
      <c r="N16" s="13"/>
      <c r="O16" s="11"/>
      <c r="P16" s="12"/>
      <c r="Q16" s="12"/>
      <c r="R16" s="12"/>
      <c r="S16" s="15"/>
    </row>
    <row r="17" ht="15" customHeight="1" s="4" customFormat="1">
      <c r="A17" s="15"/>
      <c r="B17" s="11"/>
      <c r="C17" s="11"/>
      <c r="D17" s="11"/>
      <c r="E17" s="11"/>
      <c r="F17" s="12"/>
      <c r="G17" s="11"/>
      <c r="H17" s="11"/>
      <c r="I17" s="11"/>
      <c r="J17" s="11"/>
      <c r="K17" s="11"/>
      <c r="L17" s="12"/>
      <c r="M17" s="11"/>
      <c r="N17" s="13"/>
      <c r="O17" s="11"/>
      <c r="P17" s="12"/>
      <c r="Q17" s="12"/>
      <c r="R17" s="12"/>
      <c r="S17" s="15"/>
    </row>
    <row r="18" ht="15" customHeight="1" s="4" customFormat="1">
      <c r="A18" s="15"/>
      <c r="B18" s="11"/>
      <c r="C18" s="11"/>
      <c r="D18" s="11"/>
      <c r="E18" s="11"/>
      <c r="F18" s="12"/>
      <c r="G18" s="11"/>
      <c r="H18" s="11"/>
      <c r="I18" s="11"/>
      <c r="J18" s="11"/>
      <c r="K18" s="11"/>
      <c r="L18" s="12"/>
      <c r="M18" s="11"/>
      <c r="N18" s="13"/>
      <c r="O18" s="11"/>
      <c r="P18" s="12"/>
      <c r="Q18" s="12"/>
      <c r="R18" s="12"/>
      <c r="S18" s="15"/>
    </row>
    <row r="19" ht="15" customHeight="1" s="4" customFormat="1">
      <c r="A19" s="15"/>
      <c r="B19" s="11"/>
      <c r="C19" s="11"/>
      <c r="D19" s="11"/>
      <c r="E19" s="11"/>
      <c r="F19" s="12"/>
      <c r="G19" s="11"/>
      <c r="H19" s="11"/>
      <c r="I19" s="11"/>
      <c r="J19" s="11"/>
      <c r="K19" s="11"/>
      <c r="L19" s="12"/>
      <c r="M19" s="11"/>
      <c r="N19" s="13"/>
      <c r="O19" s="11"/>
      <c r="P19" s="12"/>
      <c r="Q19" s="12"/>
      <c r="R19" s="12"/>
      <c r="S19" s="15"/>
    </row>
    <row r="20" ht="15" customHeight="1" s="4" customFormat="1">
      <c r="A20" s="15"/>
      <c r="B20" s="11"/>
      <c r="C20" s="11"/>
      <c r="D20" s="11"/>
      <c r="E20" s="11"/>
      <c r="F20" s="12"/>
      <c r="G20" s="11"/>
      <c r="H20" s="11"/>
      <c r="I20" s="11"/>
      <c r="J20" s="11"/>
      <c r="K20" s="11"/>
      <c r="L20" s="12"/>
      <c r="M20" s="11"/>
      <c r="N20" s="13"/>
      <c r="O20" s="11"/>
      <c r="P20" s="12"/>
      <c r="Q20" s="12"/>
      <c r="R20" s="12"/>
      <c r="S20" s="15"/>
    </row>
    <row r="21" ht="15" customHeight="1" s="4" customFormat="1">
      <c r="A21" s="15"/>
      <c r="B21" s="11"/>
      <c r="C21" s="11"/>
      <c r="D21" s="11"/>
      <c r="E21" s="11"/>
      <c r="F21" s="12"/>
      <c r="G21" s="11"/>
      <c r="H21" s="11"/>
      <c r="I21" s="11"/>
      <c r="J21" s="11"/>
      <c r="K21" s="11"/>
      <c r="L21" s="12"/>
      <c r="M21" s="11"/>
      <c r="N21" s="13"/>
      <c r="O21" s="11"/>
      <c r="P21" s="12"/>
      <c r="Q21" s="12"/>
      <c r="R21" s="12"/>
      <c r="S21" s="15"/>
    </row>
    <row r="22" ht="15" customHeight="1" s="4" customFormat="1">
      <c r="A22" s="15"/>
      <c r="B22" s="11"/>
      <c r="C22" s="11"/>
      <c r="D22" s="11"/>
      <c r="E22" s="11"/>
      <c r="F22" s="12"/>
      <c r="G22" s="11"/>
      <c r="H22" s="11"/>
      <c r="I22" s="11"/>
      <c r="J22" s="11"/>
      <c r="K22" s="11"/>
      <c r="L22" s="12"/>
      <c r="M22" s="11"/>
      <c r="N22" s="13"/>
      <c r="O22" s="11"/>
      <c r="P22" s="12"/>
      <c r="Q22" s="12"/>
      <c r="R22" s="12"/>
      <c r="S22" s="15"/>
    </row>
    <row r="23" ht="15" customHeight="1" s="4" customFormat="1">
      <c r="A23" s="15"/>
      <c r="B23" s="11"/>
      <c r="C23" s="11"/>
      <c r="D23" s="11"/>
      <c r="E23" s="11"/>
      <c r="F23" s="12"/>
      <c r="G23" s="11"/>
      <c r="H23" s="11"/>
      <c r="I23" s="11"/>
      <c r="J23" s="11"/>
      <c r="K23" s="11"/>
      <c r="L23" s="12"/>
      <c r="M23" s="11"/>
      <c r="N23" s="13"/>
      <c r="O23" s="11"/>
      <c r="P23" s="12"/>
      <c r="Q23" s="12"/>
      <c r="R23" s="12"/>
      <c r="S23" s="15"/>
    </row>
    <row r="24" ht="15" customHeight="1" s="4" customFormat="1">
      <c r="A24" s="15"/>
      <c r="B24" s="11"/>
      <c r="C24" s="11"/>
      <c r="D24" s="11"/>
      <c r="E24" s="11"/>
      <c r="F24" s="12"/>
      <c r="G24" s="11"/>
      <c r="H24" s="11"/>
      <c r="I24" s="11"/>
      <c r="J24" s="11"/>
      <c r="K24" s="11"/>
      <c r="L24" s="12"/>
      <c r="M24" s="11"/>
      <c r="N24" s="13"/>
      <c r="O24" s="11"/>
      <c r="P24" s="12"/>
      <c r="Q24" s="12"/>
      <c r="R24" s="12"/>
      <c r="S24" s="15"/>
    </row>
    <row r="25" ht="15" customHeight="1" s="4" customFormat="1">
      <c r="A25" s="15"/>
      <c r="B25" s="11"/>
      <c r="C25" s="11"/>
      <c r="D25" s="11"/>
      <c r="E25" s="11"/>
      <c r="F25" s="12"/>
      <c r="G25" s="11"/>
      <c r="H25" s="11"/>
      <c r="I25" s="11"/>
      <c r="J25" s="11"/>
      <c r="K25" s="11"/>
      <c r="L25" s="12"/>
      <c r="M25" s="11"/>
      <c r="N25" s="13"/>
      <c r="O25" s="11"/>
      <c r="P25" s="12"/>
      <c r="Q25" s="12"/>
      <c r="R25" s="12"/>
      <c r="S25" s="15"/>
    </row>
    <row r="26" ht="15" customHeight="1" s="4" customFormat="1">
      <c r="A26" s="15"/>
      <c r="B26" s="11"/>
      <c r="C26" s="11"/>
      <c r="D26" s="11"/>
      <c r="E26" s="11"/>
      <c r="F26" s="12"/>
      <c r="G26" s="11"/>
      <c r="H26" s="11"/>
      <c r="I26" s="11"/>
      <c r="J26" s="11"/>
      <c r="K26" s="11"/>
      <c r="L26" s="12"/>
      <c r="M26" s="11"/>
      <c r="N26" s="13"/>
      <c r="O26" s="11"/>
      <c r="P26" s="12"/>
      <c r="Q26" s="12"/>
      <c r="R26" s="12"/>
      <c r="S26" s="15"/>
    </row>
    <row r="27" ht="15" customHeight="1" s="4" customFormat="1">
      <c r="A27" s="15"/>
      <c r="B27" s="11"/>
      <c r="C27" s="11"/>
      <c r="D27" s="11"/>
      <c r="E27" s="11"/>
      <c r="F27" s="12"/>
      <c r="G27" s="11"/>
      <c r="H27" s="11"/>
      <c r="I27" s="11"/>
      <c r="J27" s="11"/>
      <c r="K27" s="11"/>
      <c r="L27" s="12"/>
      <c r="M27" s="11"/>
      <c r="N27" s="13"/>
      <c r="O27" s="11"/>
      <c r="P27" s="12"/>
      <c r="Q27" s="12"/>
      <c r="R27" s="12"/>
      <c r="S27" s="15"/>
    </row>
    <row r="28" ht="15" customHeight="1" s="4" customFormat="1">
      <c r="A28" s="15"/>
      <c r="B28" s="11"/>
      <c r="C28" s="11"/>
      <c r="D28" s="11"/>
      <c r="E28" s="11"/>
      <c r="F28" s="12"/>
      <c r="G28" s="11"/>
      <c r="H28" s="11"/>
      <c r="I28" s="11"/>
      <c r="J28" s="11"/>
      <c r="K28" s="11"/>
      <c r="L28" s="12"/>
      <c r="M28" s="11"/>
      <c r="N28" s="13"/>
      <c r="O28" s="11"/>
      <c r="P28" s="12"/>
      <c r="Q28" s="12"/>
      <c r="R28" s="12"/>
      <c r="S28" s="15"/>
    </row>
    <row r="29" ht="15" customHeight="1" s="4" customFormat="1">
      <c r="A29" s="15"/>
      <c r="B29" s="11"/>
      <c r="C29" s="11"/>
      <c r="D29" s="11"/>
      <c r="E29" s="11"/>
      <c r="F29" s="12"/>
      <c r="G29" s="11"/>
      <c r="H29" s="11"/>
      <c r="I29" s="11"/>
      <c r="J29" s="11"/>
      <c r="K29" s="11"/>
      <c r="L29" s="12"/>
      <c r="M29" s="11"/>
      <c r="N29" s="13"/>
      <c r="O29" s="11"/>
      <c r="P29" s="12"/>
      <c r="Q29" s="12"/>
      <c r="R29" s="12"/>
      <c r="S29" s="15"/>
    </row>
    <row r="30" ht="15" customHeight="1" s="4" customFormat="1">
      <c r="A30" s="15"/>
      <c r="B30" s="11"/>
      <c r="C30" s="11"/>
      <c r="D30" s="11"/>
      <c r="E30" s="11"/>
      <c r="F30" s="12"/>
      <c r="G30" s="11"/>
      <c r="H30" s="11"/>
      <c r="I30" s="11"/>
      <c r="J30" s="11"/>
      <c r="K30" s="11"/>
      <c r="L30" s="12"/>
      <c r="M30" s="11"/>
      <c r="N30" s="13"/>
      <c r="O30" s="11"/>
      <c r="P30" s="12"/>
      <c r="Q30" s="12"/>
      <c r="R30" s="12"/>
      <c r="S30" s="15"/>
    </row>
    <row r="31" ht="15" customHeight="1" s="4" customFormat="1">
      <c r="A31" s="15"/>
      <c r="B31" s="11"/>
      <c r="C31" s="11"/>
      <c r="D31" s="11"/>
      <c r="E31" s="11"/>
      <c r="F31" s="12"/>
      <c r="G31" s="11"/>
      <c r="H31" s="11"/>
      <c r="I31" s="11"/>
      <c r="J31" s="11"/>
      <c r="K31" s="11"/>
      <c r="L31" s="12"/>
      <c r="M31" s="11"/>
      <c r="N31" s="13"/>
      <c r="O31" s="11"/>
      <c r="P31" s="12"/>
      <c r="Q31" s="12"/>
      <c r="R31" s="12"/>
      <c r="S31" s="15"/>
    </row>
    <row r="32" ht="15" customHeight="1" s="4" customFormat="1">
      <c r="A32" s="15"/>
      <c r="B32" s="11"/>
      <c r="C32" s="11"/>
      <c r="D32" s="11"/>
      <c r="E32" s="11"/>
      <c r="F32" s="12"/>
      <c r="G32" s="11"/>
      <c r="H32" s="11"/>
      <c r="I32" s="11"/>
      <c r="J32" s="11"/>
      <c r="K32" s="11"/>
      <c r="L32" s="12"/>
      <c r="M32" s="11"/>
      <c r="N32" s="13"/>
      <c r="O32" s="11"/>
      <c r="P32" s="12"/>
      <c r="Q32" s="12"/>
      <c r="R32" s="12"/>
      <c r="S32" s="15"/>
    </row>
    <row r="33" ht="15" customHeight="1" s="4" customFormat="1">
      <c r="A33" s="15"/>
      <c r="B33" s="11"/>
      <c r="C33" s="11"/>
      <c r="D33" s="11"/>
      <c r="E33" s="11"/>
      <c r="F33" s="12"/>
      <c r="G33" s="11"/>
      <c r="H33" s="11"/>
      <c r="I33" s="11"/>
      <c r="J33" s="11"/>
      <c r="K33" s="11"/>
      <c r="L33" s="12"/>
      <c r="M33" s="11"/>
      <c r="N33" s="13"/>
      <c r="O33" s="11"/>
      <c r="P33" s="12"/>
      <c r="Q33" s="12"/>
      <c r="R33" s="12"/>
      <c r="S33" s="15"/>
    </row>
    <row r="34" ht="15" customHeight="1" s="4" customFormat="1">
      <c r="A34" s="15"/>
      <c r="B34" s="11"/>
      <c r="C34" s="11"/>
      <c r="D34" s="11"/>
      <c r="E34" s="11"/>
      <c r="F34" s="12"/>
      <c r="G34" s="11"/>
      <c r="H34" s="11"/>
      <c r="I34" s="11"/>
      <c r="J34" s="11"/>
      <c r="K34" s="11"/>
      <c r="L34" s="12"/>
      <c r="M34" s="11"/>
      <c r="N34" s="13"/>
      <c r="O34" s="11"/>
      <c r="P34" s="12"/>
      <c r="Q34" s="12"/>
      <c r="R34" s="12"/>
      <c r="S34" s="15"/>
    </row>
    <row r="35" ht="15" customHeight="1" s="4" customFormat="1">
      <c r="A35" s="15"/>
      <c r="B35" s="11"/>
      <c r="C35" s="11"/>
      <c r="D35" s="11"/>
      <c r="E35" s="11"/>
      <c r="F35" s="12"/>
      <c r="G35" s="11"/>
      <c r="H35" s="11"/>
      <c r="I35" s="11"/>
      <c r="J35" s="11"/>
      <c r="K35" s="11"/>
      <c r="L35" s="12"/>
      <c r="M35" s="11"/>
      <c r="N35" s="13"/>
      <c r="O35" s="11"/>
      <c r="P35" s="12"/>
      <c r="Q35" s="12"/>
      <c r="R35" s="12"/>
      <c r="S35" s="15"/>
    </row>
    <row r="36" ht="15" customHeight="1" s="4" customFormat="1">
      <c r="A36" s="15"/>
      <c r="B36" s="11"/>
      <c r="C36" s="11"/>
      <c r="D36" s="11"/>
      <c r="E36" s="11"/>
      <c r="F36" s="12"/>
      <c r="G36" s="11"/>
      <c r="H36" s="11"/>
      <c r="I36" s="11"/>
      <c r="J36" s="11"/>
      <c r="K36" s="11"/>
      <c r="L36" s="12"/>
      <c r="M36" s="11"/>
      <c r="N36" s="13"/>
      <c r="O36" s="11"/>
      <c r="P36" s="12"/>
      <c r="Q36" s="12"/>
      <c r="R36" s="12"/>
      <c r="S36" s="15"/>
    </row>
    <row r="37" ht="15" customHeight="1" s="4" customFormat="1">
      <c r="A37" s="15"/>
      <c r="B37" s="11"/>
      <c r="C37" s="11"/>
      <c r="D37" s="11"/>
      <c r="E37" s="11"/>
      <c r="F37" s="12"/>
      <c r="G37" s="11"/>
      <c r="H37" s="11"/>
      <c r="I37" s="11"/>
      <c r="J37" s="11"/>
      <c r="K37" s="11"/>
      <c r="L37" s="12"/>
      <c r="M37" s="11"/>
      <c r="N37" s="13"/>
      <c r="O37" s="11"/>
      <c r="P37" s="12"/>
      <c r="Q37" s="12"/>
      <c r="R37" s="12"/>
      <c r="S37" s="15"/>
    </row>
    <row r="38" ht="15" customHeight="1" s="4" customFormat="1">
      <c r="A38" s="15"/>
      <c r="B38" s="11"/>
      <c r="C38" s="11"/>
      <c r="D38" s="11"/>
      <c r="E38" s="11"/>
      <c r="F38" s="12"/>
      <c r="G38" s="11"/>
      <c r="H38" s="11"/>
      <c r="I38" s="11"/>
      <c r="J38" s="11"/>
      <c r="K38" s="11"/>
      <c r="L38" s="12"/>
      <c r="M38" s="11"/>
      <c r="N38" s="13"/>
      <c r="O38" s="11"/>
      <c r="P38" s="12"/>
      <c r="Q38" s="12"/>
      <c r="R38" s="12"/>
      <c r="S38" s="15"/>
    </row>
    <row r="39" ht="15" customHeight="1" s="4" customFormat="1">
      <c r="A39" s="15"/>
      <c r="B39" s="11"/>
      <c r="C39" s="11"/>
      <c r="D39" s="11"/>
      <c r="E39" s="11"/>
      <c r="F39" s="12"/>
      <c r="G39" s="11"/>
      <c r="H39" s="11"/>
      <c r="I39" s="11"/>
      <c r="J39" s="11"/>
      <c r="K39" s="11"/>
      <c r="L39" s="12"/>
      <c r="M39" s="11"/>
      <c r="N39" s="13"/>
      <c r="O39" s="11"/>
      <c r="P39" s="12"/>
      <c r="Q39" s="12"/>
      <c r="R39" s="12"/>
      <c r="S39" s="15"/>
    </row>
    <row r="40" ht="15" customHeight="1" s="4" customFormat="1">
      <c r="A40" s="15"/>
      <c r="B40" s="11"/>
      <c r="C40" s="11"/>
      <c r="D40" s="11"/>
      <c r="E40" s="11"/>
      <c r="F40" s="12"/>
      <c r="G40" s="11"/>
      <c r="H40" s="11"/>
      <c r="I40" s="11"/>
      <c r="J40" s="11"/>
      <c r="K40" s="11"/>
      <c r="L40" s="12"/>
      <c r="M40" s="11"/>
      <c r="N40" s="13"/>
      <c r="O40" s="11"/>
      <c r="P40" s="12"/>
      <c r="Q40" s="12"/>
      <c r="R40" s="12"/>
      <c r="S40" s="15"/>
    </row>
    <row r="41" ht="15" customHeight="1" s="4" customFormat="1">
      <c r="A41" s="15"/>
      <c r="B41" s="11"/>
      <c r="C41" s="11"/>
      <c r="D41" s="11"/>
      <c r="E41" s="11"/>
      <c r="F41" s="12"/>
      <c r="G41" s="11"/>
      <c r="H41" s="11"/>
      <c r="I41" s="11"/>
      <c r="J41" s="11"/>
      <c r="K41" s="11"/>
      <c r="L41" s="12"/>
      <c r="M41" s="11"/>
      <c r="N41" s="13"/>
      <c r="O41" s="11"/>
      <c r="P41" s="12"/>
      <c r="Q41" s="12"/>
      <c r="R41" s="12"/>
      <c r="S41" s="15"/>
    </row>
    <row r="42" ht="15" customHeight="1" s="4" customFormat="1">
      <c r="A42" s="15"/>
      <c r="B42" s="11"/>
      <c r="C42" s="11"/>
      <c r="D42" s="11"/>
      <c r="E42" s="11"/>
      <c r="F42" s="12"/>
      <c r="G42" s="11"/>
      <c r="H42" s="11"/>
      <c r="I42" s="11"/>
      <c r="J42" s="11"/>
      <c r="K42" s="11"/>
      <c r="L42" s="12"/>
      <c r="M42" s="11"/>
      <c r="N42" s="13"/>
      <c r="O42" s="11"/>
      <c r="P42" s="12"/>
      <c r="Q42" s="12"/>
      <c r="R42" s="12"/>
      <c r="S42" s="15"/>
    </row>
    <row r="43" ht="15" customHeight="1" s="4" customFormat="1">
      <c r="A43" s="15"/>
      <c r="B43" s="11"/>
      <c r="C43" s="11"/>
      <c r="D43" s="11"/>
      <c r="E43" s="11"/>
      <c r="F43" s="12"/>
      <c r="G43" s="11"/>
      <c r="H43" s="11"/>
      <c r="I43" s="11"/>
      <c r="J43" s="11"/>
      <c r="K43" s="11"/>
      <c r="L43" s="12"/>
      <c r="M43" s="11"/>
      <c r="N43" s="13"/>
      <c r="O43" s="11"/>
      <c r="P43" s="12"/>
      <c r="Q43" s="12"/>
      <c r="R43" s="12"/>
      <c r="S43" s="15"/>
    </row>
    <row r="44" ht="15" customHeight="1" s="4" customFormat="1">
      <c r="A44" s="15"/>
      <c r="B44" s="11"/>
      <c r="C44" s="11"/>
      <c r="D44" s="11"/>
      <c r="E44" s="11"/>
      <c r="F44" s="12"/>
      <c r="G44" s="11"/>
      <c r="H44" s="11"/>
      <c r="I44" s="11"/>
      <c r="J44" s="11"/>
      <c r="K44" s="11"/>
      <c r="L44" s="12"/>
      <c r="M44" s="11"/>
      <c r="N44" s="13"/>
      <c r="O44" s="11"/>
      <c r="P44" s="12"/>
      <c r="Q44" s="12"/>
      <c r="R44" s="12"/>
      <c r="S44" s="15"/>
    </row>
    <row r="45" ht="15" customHeight="1" s="4" customFormat="1">
      <c r="A45" s="15"/>
      <c r="B45" s="11"/>
      <c r="C45" s="11"/>
      <c r="D45" s="11"/>
      <c r="E45" s="11"/>
      <c r="F45" s="12"/>
      <c r="G45" s="11"/>
      <c r="H45" s="11"/>
      <c r="I45" s="11"/>
      <c r="J45" s="11"/>
      <c r="K45" s="11"/>
      <c r="L45" s="12"/>
      <c r="M45" s="11"/>
      <c r="N45" s="13"/>
      <c r="O45" s="11"/>
      <c r="P45" s="12"/>
      <c r="Q45" s="12"/>
      <c r="R45" s="12"/>
      <c r="S45" s="15"/>
    </row>
    <row r="46" ht="15" customHeight="1" s="4" customFormat="1">
      <c r="A46" s="15"/>
      <c r="B46" s="11"/>
      <c r="C46" s="11"/>
      <c r="D46" s="11"/>
      <c r="E46" s="11"/>
      <c r="F46" s="12"/>
      <c r="G46" s="11"/>
      <c r="H46" s="11"/>
      <c r="I46" s="11"/>
      <c r="J46" s="11"/>
      <c r="K46" s="11"/>
      <c r="L46" s="12"/>
      <c r="M46" s="11"/>
      <c r="N46" s="13"/>
      <c r="O46" s="11"/>
      <c r="P46" s="12"/>
      <c r="Q46" s="12"/>
      <c r="R46" s="12"/>
      <c r="S46" s="15"/>
    </row>
    <row r="47" ht="15" customHeight="1" s="4" customFormat="1">
      <c r="A47" s="15"/>
      <c r="B47" s="11"/>
      <c r="C47" s="11"/>
      <c r="D47" s="11"/>
      <c r="E47" s="11"/>
      <c r="F47" s="12"/>
      <c r="G47" s="11"/>
      <c r="H47" s="11"/>
      <c r="I47" s="11"/>
      <c r="J47" s="11"/>
      <c r="K47" s="11"/>
      <c r="L47" s="12"/>
      <c r="M47" s="11"/>
      <c r="N47" s="13"/>
      <c r="O47" s="11"/>
      <c r="P47" s="12"/>
      <c r="Q47" s="12"/>
      <c r="R47" s="12"/>
      <c r="S47" s="15"/>
    </row>
    <row r="48" ht="15" customHeight="1" s="4" customFormat="1">
      <c r="A48" s="15"/>
      <c r="B48" s="11"/>
      <c r="C48" s="11"/>
      <c r="D48" s="11"/>
      <c r="E48" s="11"/>
      <c r="F48" s="12"/>
      <c r="G48" s="11"/>
      <c r="H48" s="11"/>
      <c r="I48" s="11"/>
      <c r="J48" s="11"/>
      <c r="K48" s="11"/>
      <c r="L48" s="12"/>
      <c r="M48" s="11"/>
      <c r="N48" s="13"/>
      <c r="O48" s="11"/>
      <c r="P48" s="12"/>
      <c r="Q48" s="12"/>
      <c r="R48" s="12"/>
      <c r="S48" s="15"/>
    </row>
    <row r="49" ht="15" customHeight="1" s="4" customFormat="1">
      <c r="A49" s="15"/>
      <c r="B49" s="11"/>
      <c r="C49" s="11"/>
      <c r="D49" s="11"/>
      <c r="E49" s="11"/>
      <c r="F49" s="12"/>
      <c r="G49" s="11"/>
      <c r="H49" s="11"/>
      <c r="I49" s="11"/>
      <c r="J49" s="11"/>
      <c r="K49" s="11"/>
      <c r="L49" s="12"/>
      <c r="M49" s="11"/>
      <c r="N49" s="13"/>
      <c r="O49" s="11"/>
      <c r="P49" s="12"/>
      <c r="Q49" s="12"/>
      <c r="R49" s="12"/>
      <c r="S49" s="15"/>
    </row>
    <row r="50" ht="15" customHeight="1" s="4" customFormat="1">
      <c r="A50" s="15"/>
      <c r="B50" s="11"/>
      <c r="C50" s="11"/>
      <c r="D50" s="11"/>
      <c r="E50" s="11"/>
      <c r="F50" s="12"/>
      <c r="G50" s="11"/>
      <c r="H50" s="11"/>
      <c r="I50" s="11"/>
      <c r="J50" s="11"/>
      <c r="K50" s="11"/>
      <c r="L50" s="12"/>
      <c r="M50" s="11"/>
      <c r="N50" s="13"/>
      <c r="O50" s="11"/>
      <c r="P50" s="12"/>
      <c r="Q50" s="12"/>
      <c r="R50" s="12"/>
      <c r="S50" s="15"/>
    </row>
    <row r="51" ht="15" customHeight="1" s="4" customFormat="1">
      <c r="A51" s="15"/>
      <c r="B51" s="11"/>
      <c r="C51" s="11"/>
      <c r="D51" s="11"/>
      <c r="E51" s="11"/>
      <c r="F51" s="12"/>
      <c r="G51" s="11"/>
      <c r="H51" s="11"/>
      <c r="I51" s="11"/>
      <c r="J51" s="11"/>
      <c r="K51" s="11"/>
      <c r="L51" s="12"/>
      <c r="M51" s="11"/>
      <c r="N51" s="13"/>
      <c r="O51" s="11"/>
      <c r="P51" s="12"/>
      <c r="Q51" s="12"/>
      <c r="R51" s="12"/>
      <c r="S51" s="15"/>
    </row>
    <row r="52" ht="15" customHeight="1" s="4" customFormat="1">
      <c r="A52" s="15"/>
      <c r="B52" s="11"/>
      <c r="C52" s="11"/>
      <c r="D52" s="11"/>
      <c r="E52" s="11"/>
      <c r="F52" s="12"/>
      <c r="G52" s="11"/>
      <c r="H52" s="11"/>
      <c r="I52" s="11"/>
      <c r="J52" s="11"/>
      <c r="K52" s="11"/>
      <c r="L52" s="12"/>
      <c r="M52" s="11"/>
      <c r="N52" s="13"/>
      <c r="O52" s="11"/>
      <c r="P52" s="12"/>
      <c r="Q52" s="12"/>
      <c r="R52" s="12"/>
      <c r="S52" s="15"/>
    </row>
    <row r="53" ht="15" customHeight="1" s="4" customFormat="1">
      <c r="A53" s="15"/>
      <c r="B53" s="11"/>
      <c r="C53" s="11"/>
      <c r="D53" s="11"/>
      <c r="E53" s="11"/>
      <c r="F53" s="12"/>
      <c r="G53" s="11"/>
      <c r="H53" s="11"/>
      <c r="I53" s="11"/>
      <c r="J53" s="11"/>
      <c r="K53" s="11"/>
      <c r="L53" s="12"/>
      <c r="M53" s="11"/>
      <c r="N53" s="13"/>
      <c r="O53" s="11"/>
      <c r="P53" s="12"/>
      <c r="Q53" s="12"/>
      <c r="R53" s="12"/>
      <c r="S53" s="15"/>
    </row>
    <row r="54" ht="15" customHeight="1" s="4" customFormat="1">
      <c r="A54" s="15"/>
      <c r="B54" s="11"/>
      <c r="C54" s="11"/>
      <c r="D54" s="11"/>
      <c r="E54" s="11"/>
      <c r="F54" s="12"/>
      <c r="G54" s="11"/>
      <c r="H54" s="11"/>
      <c r="I54" s="11"/>
      <c r="J54" s="11"/>
      <c r="K54" s="11"/>
      <c r="L54" s="12"/>
      <c r="M54" s="11"/>
      <c r="N54" s="13"/>
      <c r="O54" s="11"/>
      <c r="P54" s="12"/>
      <c r="Q54" s="12"/>
      <c r="R54" s="12"/>
      <c r="S54" s="15"/>
    </row>
    <row r="55" ht="15" customHeight="1" s="4" customFormat="1">
      <c r="A55" s="15"/>
      <c r="B55" s="11"/>
      <c r="C55" s="11"/>
      <c r="D55" s="11"/>
      <c r="E55" s="11"/>
      <c r="F55" s="12"/>
      <c r="G55" s="11"/>
      <c r="H55" s="11"/>
      <c r="I55" s="11"/>
      <c r="J55" s="11"/>
      <c r="K55" s="11"/>
      <c r="L55" s="12"/>
      <c r="M55" s="11"/>
      <c r="N55" s="13"/>
      <c r="O55" s="11"/>
      <c r="P55" s="12"/>
      <c r="Q55" s="12"/>
      <c r="R55" s="12"/>
      <c r="S55" s="15"/>
    </row>
    <row r="56" ht="15" customHeight="1" s="4" customFormat="1">
      <c r="A56" s="15"/>
      <c r="B56" s="11"/>
      <c r="C56" s="11"/>
      <c r="D56" s="11"/>
      <c r="E56" s="11"/>
      <c r="F56" s="12"/>
      <c r="G56" s="11"/>
      <c r="H56" s="11"/>
      <c r="I56" s="11"/>
      <c r="J56" s="11"/>
      <c r="K56" s="11"/>
      <c r="L56" s="12"/>
      <c r="M56" s="11"/>
      <c r="N56" s="13"/>
      <c r="O56" s="11"/>
      <c r="P56" s="12"/>
      <c r="Q56" s="12"/>
      <c r="R56" s="12"/>
      <c r="S56" s="15"/>
    </row>
    <row r="57" ht="15" customHeight="1" s="4" customFormat="1">
      <c r="A57" s="15"/>
      <c r="B57" s="11"/>
      <c r="C57" s="11"/>
      <c r="D57" s="11"/>
      <c r="E57" s="11"/>
      <c r="F57" s="12"/>
      <c r="G57" s="11"/>
      <c r="H57" s="11"/>
      <c r="I57" s="11"/>
      <c r="J57" s="11"/>
      <c r="K57" s="11"/>
      <c r="L57" s="12"/>
      <c r="M57" s="11"/>
      <c r="N57" s="13"/>
      <c r="O57" s="11"/>
      <c r="P57" s="12"/>
      <c r="Q57" s="12"/>
      <c r="R57" s="12"/>
      <c r="S57" s="15"/>
    </row>
    <row r="58" ht="15" customHeight="1" s="4" customFormat="1">
      <c r="A58" s="15"/>
      <c r="B58" s="11"/>
      <c r="C58" s="11"/>
      <c r="D58" s="11"/>
      <c r="E58" s="11"/>
      <c r="F58" s="12"/>
      <c r="G58" s="11"/>
      <c r="H58" s="11"/>
      <c r="I58" s="11"/>
      <c r="J58" s="11"/>
      <c r="K58" s="11"/>
      <c r="L58" s="12"/>
      <c r="M58" s="11"/>
      <c r="N58" s="13"/>
      <c r="O58" s="11"/>
      <c r="P58" s="12"/>
      <c r="Q58" s="12"/>
      <c r="R58" s="12"/>
      <c r="S58" s="15"/>
    </row>
    <row r="59" ht="15" customHeight="1" s="4" customFormat="1">
      <c r="A59" s="15"/>
      <c r="B59" s="11"/>
      <c r="C59" s="11"/>
      <c r="D59" s="11"/>
      <c r="E59" s="11"/>
      <c r="F59" s="12"/>
      <c r="G59" s="11"/>
      <c r="H59" s="11"/>
      <c r="I59" s="11"/>
      <c r="J59" s="11"/>
      <c r="K59" s="11"/>
      <c r="L59" s="12"/>
      <c r="M59" s="11"/>
      <c r="N59" s="13"/>
      <c r="O59" s="11"/>
      <c r="P59" s="12"/>
      <c r="Q59" s="12"/>
      <c r="R59" s="12"/>
      <c r="S59" s="15"/>
    </row>
    <row r="60" ht="15" customHeight="1" s="4" customFormat="1">
      <c r="A60" s="15"/>
      <c r="B60" s="11"/>
      <c r="C60" s="11"/>
      <c r="D60" s="11"/>
      <c r="E60" s="11"/>
      <c r="F60" s="12"/>
      <c r="G60" s="11"/>
      <c r="H60" s="11"/>
      <c r="I60" s="11"/>
      <c r="J60" s="11"/>
      <c r="K60" s="11"/>
      <c r="L60" s="12"/>
      <c r="M60" s="11"/>
      <c r="N60" s="13"/>
      <c r="O60" s="11"/>
      <c r="P60" s="12"/>
      <c r="Q60" s="12"/>
      <c r="R60" s="12"/>
      <c r="S60" s="15"/>
    </row>
    <row r="61" ht="15" customHeight="1" s="4" customFormat="1">
      <c r="A61" s="15"/>
      <c r="B61" s="11"/>
      <c r="C61" s="11"/>
      <c r="D61" s="11"/>
      <c r="E61" s="11"/>
      <c r="F61" s="12"/>
      <c r="G61" s="11"/>
      <c r="H61" s="11"/>
      <c r="I61" s="11"/>
      <c r="J61" s="11"/>
      <c r="K61" s="11"/>
      <c r="L61" s="12"/>
      <c r="M61" s="11"/>
      <c r="N61" s="13"/>
      <c r="O61" s="11"/>
      <c r="P61" s="12"/>
      <c r="Q61" s="12"/>
      <c r="R61" s="12"/>
      <c r="S61" s="15"/>
    </row>
    <row r="62" ht="15" customHeight="1" s="4" customFormat="1">
      <c r="A62" s="15"/>
      <c r="B62" s="11"/>
      <c r="C62" s="11"/>
      <c r="D62" s="11"/>
      <c r="E62" s="11"/>
      <c r="F62" s="12"/>
      <c r="G62" s="11"/>
      <c r="H62" s="11"/>
      <c r="I62" s="11"/>
      <c r="J62" s="11"/>
      <c r="K62" s="11"/>
      <c r="L62" s="12"/>
      <c r="M62" s="11"/>
      <c r="N62" s="13"/>
      <c r="O62" s="11"/>
      <c r="P62" s="12"/>
      <c r="Q62" s="12"/>
      <c r="R62" s="12"/>
      <c r="S62" s="15"/>
    </row>
    <row r="63" ht="15" customHeight="1" s="4" customFormat="1">
      <c r="A63" s="15"/>
      <c r="B63" s="11"/>
      <c r="C63" s="11"/>
      <c r="D63" s="11"/>
      <c r="E63" s="11"/>
      <c r="F63" s="12"/>
      <c r="G63" s="11"/>
      <c r="H63" s="11"/>
      <c r="I63" s="11"/>
      <c r="J63" s="11"/>
      <c r="K63" s="11"/>
      <c r="L63" s="12"/>
      <c r="M63" s="11"/>
      <c r="N63" s="13"/>
      <c r="O63" s="11"/>
      <c r="P63" s="12"/>
      <c r="Q63" s="12"/>
      <c r="R63" s="12"/>
      <c r="S63" s="15"/>
    </row>
    <row r="64" ht="15" customHeight="1" s="4" customFormat="1">
      <c r="A64" s="15"/>
      <c r="B64" s="11"/>
      <c r="C64" s="11"/>
      <c r="D64" s="11"/>
      <c r="E64" s="11"/>
      <c r="F64" s="12"/>
      <c r="G64" s="11"/>
      <c r="H64" s="11"/>
      <c r="I64" s="11"/>
      <c r="J64" s="11"/>
      <c r="K64" s="11"/>
      <c r="L64" s="12"/>
      <c r="M64" s="11"/>
      <c r="N64" s="13"/>
      <c r="O64" s="11"/>
      <c r="P64" s="12"/>
      <c r="Q64" s="12"/>
      <c r="R64" s="12"/>
      <c r="S64" s="15"/>
    </row>
    <row r="65" ht="15" customHeight="1" s="4" customFormat="1">
      <c r="A65" s="15"/>
      <c r="B65" s="11"/>
      <c r="C65" s="11"/>
      <c r="D65" s="11"/>
      <c r="E65" s="11"/>
      <c r="F65" s="12"/>
      <c r="G65" s="11"/>
      <c r="H65" s="11"/>
      <c r="I65" s="11"/>
      <c r="J65" s="11"/>
      <c r="K65" s="11"/>
      <c r="L65" s="12"/>
      <c r="M65" s="11"/>
      <c r="N65" s="13"/>
      <c r="O65" s="11"/>
      <c r="P65" s="12"/>
      <c r="Q65" s="12"/>
      <c r="R65" s="12"/>
      <c r="S65" s="15"/>
    </row>
    <row r="66" ht="15" customHeight="1" s="4" customFormat="1">
      <c r="A66" s="15"/>
      <c r="B66" s="11"/>
      <c r="C66" s="11"/>
      <c r="D66" s="11"/>
      <c r="E66" s="11"/>
      <c r="F66" s="12"/>
      <c r="G66" s="11"/>
      <c r="H66" s="11"/>
      <c r="I66" s="11"/>
      <c r="J66" s="11"/>
      <c r="K66" s="11"/>
      <c r="L66" s="12"/>
      <c r="M66" s="11"/>
      <c r="N66" s="13"/>
      <c r="O66" s="11"/>
      <c r="P66" s="12"/>
      <c r="Q66" s="12"/>
      <c r="R66" s="12"/>
      <c r="S66" s="15"/>
    </row>
    <row r="67" ht="15" customHeight="1" s="4" customFormat="1">
      <c r="A67" s="15"/>
      <c r="B67" s="11"/>
      <c r="C67" s="11"/>
      <c r="D67" s="11"/>
      <c r="E67" s="11"/>
      <c r="F67" s="12"/>
      <c r="G67" s="11"/>
      <c r="H67" s="11"/>
      <c r="I67" s="11"/>
      <c r="J67" s="11"/>
      <c r="K67" s="11"/>
      <c r="L67" s="12"/>
      <c r="M67" s="11"/>
      <c r="N67" s="13"/>
      <c r="O67" s="11"/>
      <c r="P67" s="12"/>
      <c r="Q67" s="12"/>
      <c r="R67" s="12"/>
      <c r="S67" s="15"/>
    </row>
    <row r="68" ht="15" customHeight="1" s="4" customFormat="1">
      <c r="A68" s="15"/>
      <c r="B68" s="11"/>
      <c r="C68" s="11"/>
      <c r="D68" s="11"/>
      <c r="E68" s="11"/>
      <c r="F68" s="12"/>
      <c r="G68" s="11"/>
      <c r="H68" s="11"/>
      <c r="I68" s="11"/>
      <c r="J68" s="11"/>
      <c r="K68" s="11"/>
      <c r="L68" s="12"/>
      <c r="M68" s="11"/>
      <c r="N68" s="13"/>
      <c r="O68" s="11"/>
      <c r="P68" s="12"/>
      <c r="Q68" s="12"/>
      <c r="R68" s="12"/>
      <c r="S68" s="15"/>
    </row>
    <row r="69" ht="15" customHeight="1" s="4" customFormat="1">
      <c r="A69" s="15"/>
      <c r="B69" s="11"/>
      <c r="C69" s="11"/>
      <c r="D69" s="11"/>
      <c r="E69" s="11"/>
      <c r="F69" s="12"/>
      <c r="G69" s="11"/>
      <c r="H69" s="11"/>
      <c r="I69" s="11"/>
      <c r="J69" s="11"/>
      <c r="K69" s="11"/>
      <c r="L69" s="12"/>
      <c r="M69" s="11"/>
      <c r="N69" s="13"/>
      <c r="O69" s="11"/>
      <c r="P69" s="12"/>
      <c r="Q69" s="12"/>
      <c r="R69" s="12"/>
      <c r="S69" s="15"/>
    </row>
    <row r="70" ht="15" customHeight="1" s="4" customFormat="1">
      <c r="A70" s="15"/>
      <c r="B70" s="11"/>
      <c r="C70" s="11"/>
      <c r="D70" s="11"/>
      <c r="E70" s="11"/>
      <c r="F70" s="12"/>
      <c r="G70" s="11"/>
      <c r="H70" s="11"/>
      <c r="I70" s="11"/>
      <c r="J70" s="11"/>
      <c r="K70" s="11"/>
      <c r="L70" s="12"/>
      <c r="M70" s="11"/>
      <c r="N70" s="13"/>
      <c r="O70" s="11"/>
      <c r="P70" s="12"/>
      <c r="Q70" s="12"/>
      <c r="R70" s="12"/>
      <c r="S70" s="15"/>
    </row>
    <row r="71" ht="15" customHeight="1" s="4" customFormat="1">
      <c r="A71" s="15"/>
      <c r="B71" s="11"/>
      <c r="C71" s="11"/>
      <c r="D71" s="11"/>
      <c r="E71" s="11"/>
      <c r="F71" s="12"/>
      <c r="G71" s="11"/>
      <c r="H71" s="11"/>
      <c r="I71" s="11"/>
      <c r="J71" s="11"/>
      <c r="K71" s="11"/>
      <c r="L71" s="12"/>
      <c r="M71" s="11"/>
      <c r="N71" s="13"/>
      <c r="O71" s="11"/>
      <c r="P71" s="12"/>
      <c r="Q71" s="12"/>
      <c r="R71" s="12"/>
      <c r="S71" s="15"/>
    </row>
    <row r="72" ht="15" customHeight="1" s="4" customFormat="1">
      <c r="A72" s="15"/>
      <c r="B72" s="11"/>
      <c r="C72" s="11"/>
      <c r="D72" s="11"/>
      <c r="E72" s="11"/>
      <c r="F72" s="12"/>
      <c r="G72" s="11"/>
      <c r="H72" s="11"/>
      <c r="I72" s="11"/>
      <c r="J72" s="11"/>
      <c r="K72" s="11"/>
      <c r="L72" s="12"/>
      <c r="M72" s="11"/>
      <c r="N72" s="13"/>
      <c r="O72" s="11"/>
      <c r="P72" s="12"/>
      <c r="Q72" s="12"/>
      <c r="R72" s="12"/>
      <c r="S72" s="15"/>
    </row>
    <row r="73" ht="15" customHeight="1" s="4" customFormat="1">
      <c r="A73" s="15"/>
      <c r="B73" s="11"/>
      <c r="C73" s="11"/>
      <c r="D73" s="11"/>
      <c r="E73" s="11"/>
      <c r="F73" s="12"/>
      <c r="G73" s="11"/>
      <c r="H73" s="11"/>
      <c r="I73" s="11"/>
      <c r="J73" s="11"/>
      <c r="K73" s="11"/>
      <c r="L73" s="12"/>
      <c r="M73" s="11"/>
      <c r="N73" s="13"/>
      <c r="O73" s="11"/>
      <c r="P73" s="12"/>
      <c r="Q73" s="12"/>
      <c r="R73" s="12"/>
      <c r="S73" s="15"/>
    </row>
    <row r="74" ht="15" customHeight="1" s="4" customFormat="1">
      <c r="A74" s="15"/>
      <c r="B74" s="11"/>
      <c r="C74" s="11"/>
      <c r="D74" s="11"/>
      <c r="E74" s="11"/>
      <c r="F74" s="12"/>
      <c r="G74" s="11"/>
      <c r="H74" s="11"/>
      <c r="I74" s="11"/>
      <c r="J74" s="11"/>
      <c r="K74" s="11"/>
      <c r="L74" s="12"/>
      <c r="M74" s="11"/>
      <c r="N74" s="13"/>
      <c r="O74" s="11"/>
      <c r="P74" s="12"/>
      <c r="Q74" s="12"/>
      <c r="R74" s="12"/>
      <c r="S74" s="15"/>
    </row>
    <row r="75" ht="15" customHeight="1" s="4" customFormat="1">
      <c r="A75" s="15"/>
      <c r="B75" s="11"/>
      <c r="C75" s="11"/>
      <c r="D75" s="11"/>
      <c r="E75" s="11"/>
      <c r="F75" s="12"/>
      <c r="G75" s="11"/>
      <c r="H75" s="11"/>
      <c r="I75" s="11"/>
      <c r="J75" s="11"/>
      <c r="K75" s="11"/>
      <c r="L75" s="12"/>
      <c r="M75" s="11"/>
      <c r="N75" s="13"/>
      <c r="O75" s="11"/>
      <c r="P75" s="12"/>
      <c r="Q75" s="12"/>
      <c r="R75" s="12"/>
      <c r="S75" s="15"/>
    </row>
    <row r="76" ht="15" customHeight="1" s="4" customFormat="1">
      <c r="A76" s="15"/>
      <c r="B76" s="11"/>
      <c r="C76" s="11"/>
      <c r="D76" s="11"/>
      <c r="E76" s="11"/>
      <c r="F76" s="12"/>
      <c r="G76" s="11"/>
      <c r="H76" s="11"/>
      <c r="I76" s="11"/>
      <c r="J76" s="11"/>
      <c r="K76" s="11"/>
      <c r="L76" s="12"/>
      <c r="M76" s="11"/>
      <c r="N76" s="13"/>
      <c r="O76" s="11"/>
      <c r="P76" s="12"/>
      <c r="Q76" s="12"/>
      <c r="R76" s="12"/>
      <c r="S76" s="15"/>
    </row>
    <row r="77" ht="15" customHeight="1" s="4" customFormat="1">
      <c r="A77" s="15"/>
      <c r="B77" s="11"/>
      <c r="C77" s="11"/>
      <c r="D77" s="11"/>
      <c r="E77" s="11"/>
      <c r="F77" s="12"/>
      <c r="G77" s="11"/>
      <c r="H77" s="11"/>
      <c r="I77" s="11"/>
      <c r="J77" s="11"/>
      <c r="K77" s="11"/>
      <c r="L77" s="12"/>
      <c r="M77" s="11"/>
      <c r="N77" s="13"/>
      <c r="O77" s="11"/>
      <c r="P77" s="12"/>
      <c r="Q77" s="12"/>
      <c r="R77" s="12"/>
      <c r="S77" s="15"/>
    </row>
    <row r="78" ht="15" customHeight="1" s="4" customFormat="1">
      <c r="A78" s="15"/>
      <c r="B78" s="11"/>
      <c r="C78" s="11"/>
      <c r="D78" s="11"/>
      <c r="E78" s="11"/>
      <c r="F78" s="12"/>
      <c r="G78" s="11"/>
      <c r="H78" s="11"/>
      <c r="I78" s="11"/>
      <c r="J78" s="11"/>
      <c r="K78" s="11"/>
      <c r="L78" s="12"/>
      <c r="M78" s="11"/>
      <c r="N78" s="13"/>
      <c r="O78" s="11"/>
      <c r="P78" s="12"/>
      <c r="Q78" s="12"/>
      <c r="R78" s="12"/>
      <c r="S78" s="15"/>
    </row>
    <row r="79" ht="15" customHeight="1" s="4" customFormat="1">
      <c r="A79" s="15"/>
      <c r="B79" s="11"/>
      <c r="C79" s="11"/>
      <c r="D79" s="11"/>
      <c r="E79" s="11"/>
      <c r="F79" s="12"/>
      <c r="G79" s="11"/>
      <c r="H79" s="11"/>
      <c r="I79" s="11"/>
      <c r="J79" s="11"/>
      <c r="K79" s="11"/>
      <c r="L79" s="12"/>
      <c r="M79" s="11"/>
      <c r="N79" s="13"/>
      <c r="O79" s="11"/>
      <c r="P79" s="12"/>
      <c r="Q79" s="12"/>
      <c r="R79" s="12"/>
      <c r="S79" s="15"/>
    </row>
    <row r="80" ht="15" customHeight="1" s="4" customFormat="1">
      <c r="A80" s="15"/>
      <c r="B80" s="11"/>
      <c r="C80" s="11"/>
      <c r="D80" s="11"/>
      <c r="E80" s="11"/>
      <c r="F80" s="12"/>
      <c r="G80" s="11"/>
      <c r="H80" s="11"/>
      <c r="I80" s="11"/>
      <c r="J80" s="11"/>
      <c r="K80" s="11"/>
      <c r="L80" s="12"/>
      <c r="M80" s="11"/>
      <c r="N80" s="13"/>
      <c r="O80" s="11"/>
      <c r="P80" s="12"/>
      <c r="Q80" s="12"/>
      <c r="R80" s="12"/>
      <c r="S80" s="15"/>
    </row>
    <row r="81" ht="15" customHeight="1" s="4" customFormat="1">
      <c r="A81" s="15"/>
      <c r="B81" s="11"/>
      <c r="C81" s="11"/>
      <c r="D81" s="11"/>
      <c r="E81" s="11"/>
      <c r="F81" s="12"/>
      <c r="G81" s="11"/>
      <c r="H81" s="11"/>
      <c r="I81" s="11"/>
      <c r="J81" s="11"/>
      <c r="K81" s="11"/>
      <c r="L81" s="12"/>
      <c r="M81" s="11"/>
      <c r="N81" s="13"/>
      <c r="O81" s="11"/>
      <c r="P81" s="12"/>
      <c r="Q81" s="12"/>
      <c r="R81" s="12"/>
      <c r="S81" s="15"/>
    </row>
    <row r="82" ht="15" customHeight="1" s="4" customFormat="1">
      <c r="A82" s="15"/>
      <c r="B82" s="11"/>
      <c r="C82" s="11"/>
      <c r="D82" s="11"/>
      <c r="E82" s="11"/>
      <c r="F82" s="12"/>
      <c r="G82" s="11"/>
      <c r="H82" s="11"/>
      <c r="I82" s="11"/>
      <c r="J82" s="11"/>
      <c r="K82" s="11"/>
      <c r="L82" s="12"/>
      <c r="M82" s="11"/>
      <c r="N82" s="13"/>
      <c r="O82" s="11"/>
      <c r="P82" s="12"/>
      <c r="Q82" s="12"/>
      <c r="R82" s="12"/>
      <c r="S82" s="15"/>
    </row>
    <row r="83" ht="15" customHeight="1" s="4" customFormat="1">
      <c r="A83" s="15"/>
      <c r="B83" s="11"/>
      <c r="C83" s="11"/>
      <c r="D83" s="11"/>
      <c r="E83" s="11"/>
      <c r="F83" s="12"/>
      <c r="G83" s="11"/>
      <c r="H83" s="11"/>
      <c r="I83" s="11"/>
      <c r="J83" s="11"/>
      <c r="K83" s="11"/>
      <c r="L83" s="12"/>
      <c r="M83" s="11"/>
      <c r="N83" s="13"/>
      <c r="O83" s="11"/>
      <c r="P83" s="12"/>
      <c r="Q83" s="12"/>
      <c r="R83" s="12"/>
      <c r="S83" s="15"/>
    </row>
    <row r="84" ht="15" customHeight="1" s="4" customFormat="1">
      <c r="A84" s="15"/>
      <c r="B84" s="11"/>
      <c r="C84" s="11"/>
      <c r="D84" s="11"/>
      <c r="E84" s="11"/>
      <c r="F84" s="12"/>
      <c r="G84" s="11"/>
      <c r="H84" s="11"/>
      <c r="I84" s="11"/>
      <c r="J84" s="11"/>
      <c r="K84" s="11"/>
      <c r="L84" s="12"/>
      <c r="M84" s="11"/>
      <c r="N84" s="13"/>
      <c r="O84" s="11"/>
      <c r="P84" s="12"/>
      <c r="Q84" s="12"/>
      <c r="R84" s="12"/>
      <c r="S84" s="15"/>
    </row>
    <row r="85" ht="15" customHeight="1" s="4" customFormat="1">
      <c r="A85" s="15"/>
      <c r="B85" s="11"/>
      <c r="C85" s="11"/>
      <c r="D85" s="11"/>
      <c r="E85" s="11"/>
      <c r="F85" s="12"/>
      <c r="G85" s="11"/>
      <c r="H85" s="11"/>
      <c r="I85" s="11"/>
      <c r="J85" s="11"/>
      <c r="K85" s="11"/>
      <c r="L85" s="12"/>
      <c r="M85" s="11"/>
      <c r="N85" s="13"/>
      <c r="O85" s="11"/>
      <c r="P85" s="12"/>
      <c r="Q85" s="12"/>
      <c r="R85" s="12"/>
      <c r="S85" s="15"/>
    </row>
    <row r="86" ht="15" customHeight="1" s="4" customFormat="1">
      <c r="A86" s="15"/>
      <c r="B86" s="11"/>
      <c r="C86" s="11"/>
      <c r="D86" s="11"/>
      <c r="E86" s="11"/>
      <c r="F86" s="12"/>
      <c r="G86" s="11"/>
      <c r="H86" s="11"/>
      <c r="I86" s="11"/>
      <c r="J86" s="11"/>
      <c r="K86" s="11"/>
      <c r="L86" s="12"/>
      <c r="M86" s="11"/>
      <c r="N86" s="13"/>
      <c r="O86" s="11"/>
      <c r="P86" s="12"/>
      <c r="Q86" s="12"/>
      <c r="R86" s="12"/>
      <c r="S86" s="15"/>
    </row>
    <row r="87" ht="15" customHeight="1" s="4" customFormat="1">
      <c r="A87" s="15"/>
      <c r="B87" s="11"/>
      <c r="C87" s="11"/>
      <c r="D87" s="11"/>
      <c r="E87" s="11"/>
      <c r="F87" s="12"/>
      <c r="G87" s="11"/>
      <c r="H87" s="11"/>
      <c r="I87" s="11"/>
      <c r="J87" s="11"/>
      <c r="K87" s="11"/>
      <c r="L87" s="12"/>
      <c r="M87" s="11"/>
      <c r="N87" s="13"/>
      <c r="O87" s="11"/>
      <c r="P87" s="12"/>
      <c r="Q87" s="12"/>
      <c r="R87" s="12"/>
      <c r="S87" s="15"/>
    </row>
    <row r="88" ht="15" customHeight="1" s="4" customFormat="1">
      <c r="A88" s="15"/>
      <c r="B88" s="11"/>
      <c r="C88" s="11"/>
      <c r="D88" s="11"/>
      <c r="E88" s="11"/>
      <c r="F88" s="12"/>
      <c r="G88" s="11"/>
      <c r="H88" s="11"/>
      <c r="I88" s="11"/>
      <c r="J88" s="11"/>
      <c r="K88" s="11"/>
      <c r="L88" s="12"/>
      <c r="M88" s="11"/>
      <c r="N88" s="13"/>
      <c r="O88" s="11"/>
      <c r="P88" s="12"/>
      <c r="Q88" s="12"/>
      <c r="R88" s="12"/>
      <c r="S88" s="15"/>
    </row>
    <row r="89" ht="15" customHeight="1" s="4" customFormat="1">
      <c r="A89" s="15"/>
      <c r="B89" s="11"/>
      <c r="C89" s="11"/>
      <c r="D89" s="11"/>
      <c r="E89" s="11"/>
      <c r="F89" s="12"/>
      <c r="G89" s="11"/>
      <c r="H89" s="11"/>
      <c r="I89" s="11"/>
      <c r="J89" s="11"/>
      <c r="K89" s="11"/>
      <c r="L89" s="12"/>
      <c r="M89" s="11"/>
      <c r="N89" s="13"/>
      <c r="O89" s="11"/>
      <c r="P89" s="12"/>
      <c r="Q89" s="12"/>
      <c r="R89" s="12"/>
      <c r="S89" s="15"/>
    </row>
    <row r="90" ht="15" customHeight="1" s="4" customFormat="1">
      <c r="A90" s="15"/>
      <c r="B90" s="11"/>
      <c r="C90" s="11"/>
      <c r="D90" s="11"/>
      <c r="E90" s="11"/>
      <c r="F90" s="12"/>
      <c r="G90" s="11"/>
      <c r="H90" s="11"/>
      <c r="I90" s="11"/>
      <c r="J90" s="11"/>
      <c r="K90" s="11"/>
      <c r="L90" s="12"/>
      <c r="M90" s="11"/>
      <c r="N90" s="13"/>
      <c r="O90" s="11"/>
      <c r="P90" s="12"/>
      <c r="Q90" s="12"/>
      <c r="R90" s="12"/>
      <c r="S90" s="15"/>
    </row>
    <row r="91" ht="15" customHeight="1" s="4" customFormat="1">
      <c r="A91" s="15"/>
      <c r="B91" s="11"/>
      <c r="C91" s="11"/>
      <c r="D91" s="11"/>
      <c r="E91" s="11"/>
      <c r="F91" s="12"/>
      <c r="G91" s="11"/>
      <c r="H91" s="11"/>
      <c r="I91" s="11"/>
      <c r="J91" s="11"/>
      <c r="K91" s="11"/>
      <c r="L91" s="12"/>
      <c r="M91" s="11"/>
      <c r="N91" s="13"/>
      <c r="O91" s="11"/>
      <c r="P91" s="12"/>
      <c r="Q91" s="12"/>
      <c r="R91" s="12"/>
      <c r="S91" s="15"/>
    </row>
    <row r="92" ht="15" customHeight="1" s="4" customFormat="1">
      <c r="A92" s="15"/>
      <c r="B92" s="11"/>
      <c r="C92" s="11"/>
      <c r="D92" s="11"/>
      <c r="E92" s="11"/>
      <c r="F92" s="12"/>
      <c r="G92" s="11"/>
      <c r="H92" s="11"/>
      <c r="I92" s="11"/>
      <c r="J92" s="11"/>
      <c r="K92" s="11"/>
      <c r="L92" s="12"/>
      <c r="M92" s="11"/>
      <c r="N92" s="13"/>
      <c r="O92" s="11"/>
      <c r="P92" s="12"/>
      <c r="Q92" s="12"/>
      <c r="R92" s="12"/>
      <c r="S92" s="15"/>
    </row>
    <row r="93" ht="15" customHeight="1" s="4" customFormat="1">
      <c r="A93" s="15"/>
      <c r="B93" s="11"/>
      <c r="C93" s="11"/>
      <c r="D93" s="11"/>
      <c r="E93" s="11"/>
      <c r="F93" s="12"/>
      <c r="G93" s="11"/>
      <c r="H93" s="11"/>
      <c r="I93" s="11"/>
      <c r="J93" s="11"/>
      <c r="K93" s="11"/>
      <c r="L93" s="12"/>
      <c r="M93" s="11"/>
      <c r="N93" s="13"/>
      <c r="O93" s="11"/>
      <c r="P93" s="12"/>
      <c r="Q93" s="12"/>
      <c r="R93" s="12"/>
      <c r="S93" s="15"/>
    </row>
    <row r="94" ht="15" customHeight="1" s="4" customFormat="1">
      <c r="A94" s="15"/>
      <c r="B94" s="11"/>
      <c r="C94" s="11"/>
      <c r="D94" s="11"/>
      <c r="E94" s="11"/>
      <c r="F94" s="12"/>
      <c r="G94" s="11"/>
      <c r="H94" s="11"/>
      <c r="I94" s="11"/>
      <c r="J94" s="11"/>
      <c r="K94" s="11"/>
      <c r="L94" s="12"/>
      <c r="M94" s="11"/>
      <c r="N94" s="13"/>
      <c r="O94" s="11"/>
      <c r="P94" s="12"/>
      <c r="Q94" s="12"/>
      <c r="R94" s="12"/>
      <c r="S94" s="15"/>
    </row>
    <row r="95" ht="15" customHeight="1" s="4" customFormat="1">
      <c r="A95" s="15"/>
      <c r="B95" s="11"/>
      <c r="C95" s="11"/>
      <c r="D95" s="11"/>
      <c r="E95" s="11"/>
      <c r="F95" s="12"/>
      <c r="G95" s="11"/>
      <c r="H95" s="11"/>
      <c r="I95" s="11"/>
      <c r="J95" s="11"/>
      <c r="K95" s="11"/>
      <c r="L95" s="12"/>
      <c r="M95" s="11"/>
      <c r="N95" s="13"/>
      <c r="O95" s="11"/>
      <c r="P95" s="12"/>
      <c r="Q95" s="12"/>
      <c r="R95" s="12"/>
      <c r="S95" s="15"/>
    </row>
    <row r="96" ht="15" customHeight="1" s="4" customFormat="1">
      <c r="A96" s="15"/>
      <c r="B96" s="11"/>
      <c r="C96" s="11"/>
      <c r="D96" s="11"/>
      <c r="E96" s="11"/>
      <c r="F96" s="12"/>
      <c r="G96" s="11"/>
      <c r="H96" s="11"/>
      <c r="I96" s="11"/>
      <c r="J96" s="11"/>
      <c r="K96" s="11"/>
      <c r="L96" s="12"/>
      <c r="M96" s="11"/>
      <c r="N96" s="13"/>
      <c r="O96" s="11"/>
      <c r="P96" s="12"/>
      <c r="Q96" s="12"/>
      <c r="R96" s="12"/>
      <c r="S96" s="15"/>
    </row>
    <row r="97" ht="15" customHeight="1" s="4" customFormat="1">
      <c r="A97" s="15"/>
      <c r="B97" s="11"/>
      <c r="C97" s="11"/>
      <c r="D97" s="11"/>
      <c r="E97" s="11"/>
      <c r="F97" s="12"/>
      <c r="G97" s="11"/>
      <c r="H97" s="11"/>
      <c r="I97" s="11"/>
      <c r="J97" s="11"/>
      <c r="K97" s="11"/>
      <c r="L97" s="12"/>
      <c r="M97" s="11"/>
      <c r="N97" s="13"/>
      <c r="O97" s="11"/>
      <c r="P97" s="12"/>
      <c r="Q97" s="12"/>
      <c r="R97" s="12"/>
      <c r="S97" s="15"/>
    </row>
    <row r="98" ht="15" customHeight="1" s="4" customFormat="1">
      <c r="A98" s="15"/>
      <c r="B98" s="11"/>
      <c r="C98" s="11"/>
      <c r="D98" s="11"/>
      <c r="E98" s="11"/>
      <c r="F98" s="12"/>
      <c r="G98" s="11"/>
      <c r="H98" s="11"/>
      <c r="I98" s="11"/>
      <c r="J98" s="11"/>
      <c r="K98" s="11"/>
      <c r="L98" s="12"/>
      <c r="M98" s="11"/>
      <c r="N98" s="13"/>
      <c r="O98" s="11"/>
      <c r="P98" s="12"/>
      <c r="Q98" s="12"/>
      <c r="R98" s="12"/>
      <c r="S98" s="15"/>
    </row>
    <row r="99" ht="15" customHeight="1" s="4" customFormat="1">
      <c r="A99" s="15"/>
      <c r="B99" s="11"/>
      <c r="C99" s="11"/>
      <c r="D99" s="11"/>
      <c r="E99" s="11"/>
      <c r="F99" s="12"/>
      <c r="G99" s="11"/>
      <c r="H99" s="11"/>
      <c r="I99" s="11"/>
      <c r="J99" s="11"/>
      <c r="K99" s="11"/>
      <c r="L99" s="12"/>
      <c r="M99" s="11"/>
      <c r="N99" s="13"/>
      <c r="O99" s="11"/>
      <c r="P99" s="12"/>
      <c r="Q99" s="12"/>
      <c r="R99" s="12"/>
      <c r="S99" s="15"/>
    </row>
    <row r="100" ht="15" customHeight="1" s="4" customFormat="1">
      <c r="A100" s="15"/>
      <c r="B100" s="11"/>
      <c r="C100" s="11"/>
      <c r="D100" s="11"/>
      <c r="E100" s="11"/>
      <c r="F100" s="12"/>
      <c r="G100" s="11"/>
      <c r="H100" s="11"/>
      <c r="I100" s="11"/>
      <c r="J100" s="11"/>
      <c r="K100" s="11"/>
      <c r="L100" s="12"/>
      <c r="M100" s="11"/>
      <c r="N100" s="13"/>
      <c r="O100" s="11"/>
      <c r="P100" s="12"/>
      <c r="Q100" s="12"/>
      <c r="R100" s="12"/>
      <c r="S100" s="15"/>
    </row>
    <row r="101" ht="15" customHeight="1" s="4" customFormat="1">
      <c r="A101" s="15"/>
      <c r="B101" s="11"/>
      <c r="C101" s="11"/>
      <c r="D101" s="11"/>
      <c r="E101" s="11"/>
      <c r="F101" s="12"/>
      <c r="G101" s="11"/>
      <c r="H101" s="11"/>
      <c r="I101" s="11"/>
      <c r="J101" s="11"/>
      <c r="K101" s="11"/>
      <c r="L101" s="12"/>
      <c r="M101" s="11"/>
      <c r="N101" s="13"/>
      <c r="O101" s="11"/>
      <c r="P101" s="12"/>
      <c r="Q101" s="12"/>
      <c r="R101" s="12"/>
      <c r="S101" s="15"/>
    </row>
    <row r="102" ht="15" customHeight="1" s="4" customFormat="1">
      <c r="A102" s="15"/>
      <c r="B102" s="11"/>
      <c r="C102" s="11"/>
      <c r="D102" s="11"/>
      <c r="E102" s="11"/>
      <c r="F102" s="12"/>
      <c r="G102" s="11"/>
      <c r="H102" s="11"/>
      <c r="I102" s="11"/>
      <c r="J102" s="11"/>
      <c r="K102" s="11"/>
      <c r="L102" s="12"/>
      <c r="M102" s="11"/>
      <c r="N102" s="13"/>
      <c r="O102" s="11"/>
      <c r="P102" s="12"/>
      <c r="Q102" s="12"/>
      <c r="R102" s="12"/>
      <c r="S102" s="15"/>
    </row>
    <row r="103" ht="15" customHeight="1" s="4" customFormat="1">
      <c r="A103" s="15"/>
      <c r="B103" s="11"/>
      <c r="C103" s="11"/>
      <c r="D103" s="11"/>
      <c r="E103" s="11"/>
      <c r="F103" s="12"/>
      <c r="G103" s="11"/>
      <c r="H103" s="11"/>
      <c r="I103" s="11"/>
      <c r="J103" s="11"/>
      <c r="K103" s="11"/>
      <c r="L103" s="12"/>
      <c r="M103" s="11"/>
      <c r="N103" s="13"/>
      <c r="O103" s="11"/>
      <c r="P103" s="12"/>
      <c r="Q103" s="12"/>
      <c r="R103" s="12"/>
      <c r="S103" s="15"/>
    </row>
    <row r="104" ht="15" customHeight="1" s="4" customFormat="1">
      <c r="A104" s="15"/>
      <c r="B104" s="11"/>
      <c r="C104" s="11"/>
      <c r="D104" s="11"/>
      <c r="E104" s="11"/>
      <c r="F104" s="12"/>
      <c r="G104" s="11"/>
      <c r="H104" s="11"/>
      <c r="I104" s="11"/>
      <c r="J104" s="11"/>
      <c r="K104" s="11"/>
      <c r="L104" s="12"/>
      <c r="M104" s="11"/>
      <c r="N104" s="13"/>
      <c r="O104" s="11"/>
      <c r="P104" s="12"/>
      <c r="Q104" s="12"/>
      <c r="R104" s="12"/>
      <c r="S104" s="15"/>
    </row>
    <row r="105" ht="15" customHeight="1" s="4" customFormat="1">
      <c r="A105" s="15"/>
      <c r="B105" s="11"/>
      <c r="C105" s="11"/>
      <c r="D105" s="11"/>
      <c r="E105" s="11"/>
      <c r="F105" s="12"/>
      <c r="G105" s="11"/>
      <c r="H105" s="11"/>
      <c r="I105" s="11"/>
      <c r="J105" s="11"/>
      <c r="K105" s="11"/>
      <c r="L105" s="12"/>
      <c r="M105" s="11"/>
      <c r="N105" s="13"/>
      <c r="O105" s="11"/>
      <c r="P105" s="12"/>
      <c r="Q105" s="12"/>
      <c r="R105" s="12"/>
      <c r="S105" s="15"/>
    </row>
    <row r="106" ht="15" customHeight="1" s="4" customFormat="1">
      <c r="A106" s="15"/>
      <c r="B106" s="11"/>
      <c r="C106" s="11"/>
      <c r="D106" s="11"/>
      <c r="E106" s="11"/>
      <c r="F106" s="12"/>
      <c r="G106" s="11"/>
      <c r="H106" s="11"/>
      <c r="I106" s="11"/>
      <c r="J106" s="11"/>
      <c r="K106" s="11"/>
      <c r="L106" s="12"/>
      <c r="M106" s="11"/>
      <c r="N106" s="13"/>
      <c r="O106" s="11"/>
      <c r="P106" s="12"/>
      <c r="Q106" s="12"/>
      <c r="R106" s="12"/>
      <c r="S106" s="15"/>
    </row>
    <row r="107" ht="15" customHeight="1" s="4" customFormat="1">
      <c r="A107" s="15"/>
      <c r="B107" s="11"/>
      <c r="C107" s="11"/>
      <c r="D107" s="11"/>
      <c r="E107" s="11"/>
      <c r="F107" s="12"/>
      <c r="G107" s="11"/>
      <c r="H107" s="11"/>
      <c r="I107" s="11"/>
      <c r="J107" s="11"/>
      <c r="K107" s="11"/>
      <c r="L107" s="12"/>
      <c r="M107" s="11"/>
      <c r="N107" s="13"/>
      <c r="O107" s="11"/>
      <c r="P107" s="12"/>
      <c r="Q107" s="12"/>
      <c r="R107" s="12"/>
      <c r="S107" s="15"/>
    </row>
    <row r="108" ht="15" customHeight="1" s="4" customFormat="1">
      <c r="A108" s="15"/>
      <c r="B108" s="11"/>
      <c r="C108" s="11"/>
      <c r="D108" s="11"/>
      <c r="E108" s="11"/>
      <c r="F108" s="12"/>
      <c r="G108" s="11"/>
      <c r="H108" s="11"/>
      <c r="I108" s="11"/>
      <c r="J108" s="11"/>
      <c r="K108" s="11"/>
      <c r="L108" s="12"/>
      <c r="M108" s="11"/>
      <c r="N108" s="13"/>
      <c r="O108" s="11"/>
      <c r="P108" s="12"/>
      <c r="Q108" s="12"/>
      <c r="R108" s="12"/>
      <c r="S108" s="15"/>
    </row>
    <row r="109" ht="15" customHeight="1" s="4" customFormat="1">
      <c r="A109" s="15"/>
      <c r="B109" s="11"/>
      <c r="C109" s="11"/>
      <c r="D109" s="11"/>
      <c r="E109" s="11"/>
      <c r="F109" s="12"/>
      <c r="G109" s="11"/>
      <c r="H109" s="11"/>
      <c r="I109" s="11"/>
      <c r="J109" s="11"/>
      <c r="K109" s="11"/>
      <c r="L109" s="12"/>
      <c r="M109" s="11"/>
      <c r="N109" s="13"/>
      <c r="O109" s="11"/>
      <c r="P109" s="12"/>
      <c r="Q109" s="12"/>
      <c r="R109" s="12"/>
      <c r="S109" s="15"/>
    </row>
    <row r="110" ht="15" customHeight="1" s="4" customFormat="1">
      <c r="A110" s="15"/>
      <c r="B110" s="11"/>
      <c r="C110" s="11"/>
      <c r="D110" s="11"/>
      <c r="E110" s="11"/>
      <c r="F110" s="12"/>
      <c r="G110" s="11"/>
      <c r="H110" s="11"/>
      <c r="I110" s="11"/>
      <c r="J110" s="11"/>
      <c r="K110" s="11"/>
      <c r="L110" s="12"/>
      <c r="M110" s="11"/>
      <c r="N110" s="13"/>
      <c r="O110" s="11"/>
      <c r="P110" s="12"/>
      <c r="Q110" s="12"/>
      <c r="R110" s="12"/>
      <c r="S110" s="15"/>
    </row>
    <row r="111" ht="15" customHeight="1" s="4" customFormat="1">
      <c r="A111" s="15"/>
      <c r="B111" s="11"/>
      <c r="C111" s="11"/>
      <c r="D111" s="11"/>
      <c r="E111" s="11"/>
      <c r="F111" s="12"/>
      <c r="G111" s="11"/>
      <c r="H111" s="11"/>
      <c r="I111" s="11"/>
      <c r="J111" s="11"/>
      <c r="K111" s="11"/>
      <c r="L111" s="12"/>
      <c r="M111" s="11"/>
      <c r="N111" s="13"/>
      <c r="O111" s="11"/>
      <c r="P111" s="12"/>
      <c r="Q111" s="12"/>
      <c r="R111" s="12"/>
      <c r="S111" s="15"/>
    </row>
    <row r="112" ht="15" customHeight="1" s="4" customFormat="1">
      <c r="A112" s="15"/>
      <c r="B112" s="11"/>
      <c r="C112" s="11"/>
      <c r="D112" s="11"/>
      <c r="E112" s="11"/>
      <c r="F112" s="12"/>
      <c r="G112" s="11"/>
      <c r="H112" s="11"/>
      <c r="I112" s="11"/>
      <c r="J112" s="11"/>
      <c r="K112" s="11"/>
      <c r="L112" s="12"/>
      <c r="M112" s="11"/>
      <c r="N112" s="13"/>
      <c r="O112" s="11"/>
      <c r="P112" s="12"/>
      <c r="Q112" s="12"/>
      <c r="R112" s="12"/>
      <c r="S112" s="15"/>
    </row>
    <row r="113" ht="15" customHeight="1" s="4" customFormat="1">
      <c r="A113" s="15"/>
      <c r="B113" s="11"/>
      <c r="C113" s="11"/>
      <c r="D113" s="11"/>
      <c r="E113" s="11"/>
      <c r="F113" s="12"/>
      <c r="G113" s="11"/>
      <c r="H113" s="11"/>
      <c r="I113" s="11"/>
      <c r="J113" s="11"/>
      <c r="K113" s="11"/>
      <c r="L113" s="12"/>
      <c r="M113" s="11"/>
      <c r="N113" s="13"/>
      <c r="O113" s="11"/>
      <c r="P113" s="12"/>
      <c r="Q113" s="12"/>
      <c r="R113" s="12"/>
      <c r="S113" s="15"/>
    </row>
    <row r="114" ht="15" customHeight="1" s="4" customFormat="1">
      <c r="A114" s="15"/>
      <c r="B114" s="11"/>
      <c r="C114" s="11"/>
      <c r="D114" s="11"/>
      <c r="E114" s="11"/>
      <c r="F114" s="12"/>
      <c r="G114" s="11"/>
      <c r="H114" s="11"/>
      <c r="I114" s="11"/>
      <c r="J114" s="11"/>
      <c r="K114" s="11"/>
      <c r="L114" s="12"/>
      <c r="M114" s="11"/>
      <c r="N114" s="13"/>
      <c r="O114" s="11"/>
      <c r="P114" s="12"/>
      <c r="Q114" s="12"/>
      <c r="R114" s="12"/>
      <c r="S114" s="15"/>
    </row>
    <row r="115" ht="15" customHeight="1" s="4" customFormat="1">
      <c r="A115" s="15"/>
      <c r="B115" s="11"/>
      <c r="C115" s="11"/>
      <c r="D115" s="11"/>
      <c r="E115" s="11"/>
      <c r="F115" s="12"/>
      <c r="G115" s="11"/>
      <c r="H115" s="11"/>
      <c r="I115" s="11"/>
      <c r="J115" s="11"/>
      <c r="K115" s="11"/>
      <c r="L115" s="12"/>
      <c r="M115" s="11"/>
      <c r="N115" s="13"/>
      <c r="O115" s="11"/>
      <c r="P115" s="12"/>
      <c r="Q115" s="12"/>
      <c r="R115" s="12"/>
      <c r="S115" s="15"/>
    </row>
    <row r="116" ht="15" customHeight="1" s="4" customFormat="1">
      <c r="A116" s="15"/>
      <c r="B116" s="11"/>
      <c r="C116" s="11"/>
      <c r="D116" s="11"/>
      <c r="E116" s="11"/>
      <c r="F116" s="12"/>
      <c r="G116" s="11"/>
      <c r="H116" s="11"/>
      <c r="I116" s="11"/>
      <c r="J116" s="11"/>
      <c r="K116" s="11"/>
      <c r="L116" s="12"/>
      <c r="M116" s="11"/>
      <c r="N116" s="13"/>
      <c r="O116" s="11"/>
      <c r="P116" s="12"/>
      <c r="Q116" s="12"/>
      <c r="R116" s="12"/>
      <c r="S116" s="15"/>
    </row>
    <row r="117" ht="15" customHeight="1" s="4" customFormat="1">
      <c r="A117" s="15"/>
      <c r="B117" s="11"/>
      <c r="C117" s="11"/>
      <c r="D117" s="11"/>
      <c r="E117" s="11"/>
      <c r="F117" s="12"/>
      <c r="G117" s="11"/>
      <c r="H117" s="11"/>
      <c r="I117" s="11"/>
      <c r="J117" s="11"/>
      <c r="K117" s="11"/>
      <c r="L117" s="12"/>
      <c r="M117" s="11"/>
      <c r="N117" s="13"/>
      <c r="O117" s="11"/>
      <c r="P117" s="12"/>
      <c r="Q117" s="12"/>
      <c r="R117" s="12"/>
      <c r="S117" s="15"/>
    </row>
    <row r="118" ht="15" customHeight="1" s="4" customFormat="1">
      <c r="A118" s="15"/>
      <c r="B118" s="11"/>
      <c r="C118" s="11"/>
      <c r="D118" s="11"/>
      <c r="E118" s="11"/>
      <c r="F118" s="12"/>
      <c r="G118" s="11"/>
      <c r="H118" s="11"/>
      <c r="I118" s="11"/>
      <c r="J118" s="11"/>
      <c r="K118" s="11"/>
      <c r="L118" s="12"/>
      <c r="M118" s="11"/>
      <c r="N118" s="13"/>
      <c r="O118" s="11"/>
      <c r="P118" s="12"/>
      <c r="Q118" s="12"/>
      <c r="R118" s="12"/>
      <c r="S118" s="15"/>
    </row>
    <row r="119" ht="15" customHeight="1" s="4" customFormat="1">
      <c r="A119" s="15"/>
      <c r="B119" s="11"/>
      <c r="C119" s="11"/>
      <c r="D119" s="11"/>
      <c r="E119" s="11"/>
      <c r="F119" s="12"/>
      <c r="G119" s="11"/>
      <c r="H119" s="11"/>
      <c r="I119" s="11"/>
      <c r="J119" s="11"/>
      <c r="K119" s="11"/>
      <c r="L119" s="12"/>
      <c r="M119" s="11"/>
      <c r="N119" s="13"/>
      <c r="O119" s="11"/>
      <c r="P119" s="12"/>
      <c r="Q119" s="12"/>
      <c r="R119" s="12"/>
      <c r="S119" s="15"/>
    </row>
    <row r="120" ht="15" customHeight="1" s="4" customFormat="1">
      <c r="A120" s="15"/>
      <c r="B120" s="11"/>
      <c r="C120" s="11"/>
      <c r="D120" s="11"/>
      <c r="E120" s="11"/>
      <c r="F120" s="12"/>
      <c r="G120" s="11"/>
      <c r="H120" s="11"/>
      <c r="I120" s="11"/>
      <c r="J120" s="11"/>
      <c r="K120" s="11"/>
      <c r="L120" s="12"/>
      <c r="M120" s="11"/>
      <c r="N120" s="13"/>
      <c r="O120" s="11"/>
      <c r="P120" s="12"/>
      <c r="Q120" s="12"/>
      <c r="R120" s="12"/>
      <c r="S120" s="15"/>
    </row>
    <row r="121" ht="15" customHeight="1" s="4" customFormat="1">
      <c r="A121" s="15"/>
      <c r="B121" s="11"/>
      <c r="C121" s="11"/>
      <c r="D121" s="11"/>
      <c r="E121" s="11"/>
      <c r="F121" s="12"/>
      <c r="G121" s="11"/>
      <c r="H121" s="11"/>
      <c r="I121" s="11"/>
      <c r="J121" s="11"/>
      <c r="K121" s="11"/>
      <c r="L121" s="12"/>
      <c r="M121" s="11"/>
      <c r="N121" s="13"/>
      <c r="O121" s="11"/>
      <c r="P121" s="12"/>
      <c r="Q121" s="12"/>
      <c r="R121" s="12"/>
      <c r="S121" s="15"/>
    </row>
    <row r="122" ht="15" customHeight="1" s="4" customFormat="1">
      <c r="A122" s="15"/>
      <c r="B122" s="11"/>
      <c r="C122" s="11"/>
      <c r="D122" s="11"/>
      <c r="E122" s="11"/>
      <c r="F122" s="12"/>
      <c r="G122" s="11"/>
      <c r="H122" s="11"/>
      <c r="I122" s="11"/>
      <c r="J122" s="11"/>
      <c r="K122" s="11"/>
      <c r="L122" s="12"/>
      <c r="M122" s="11"/>
      <c r="N122" s="13"/>
      <c r="O122" s="11"/>
      <c r="P122" s="12"/>
      <c r="Q122" s="12"/>
      <c r="R122" s="12"/>
      <c r="S122" s="15"/>
    </row>
    <row r="123" ht="15" customHeight="1" s="4" customFormat="1">
      <c r="A123" s="15"/>
      <c r="B123" s="11"/>
      <c r="C123" s="11"/>
      <c r="D123" s="11"/>
      <c r="E123" s="11"/>
      <c r="F123" s="12"/>
      <c r="G123" s="11"/>
      <c r="H123" s="11"/>
      <c r="I123" s="11"/>
      <c r="J123" s="11"/>
      <c r="K123" s="11"/>
      <c r="L123" s="12"/>
      <c r="M123" s="11"/>
      <c r="N123" s="13"/>
      <c r="O123" s="11"/>
      <c r="P123" s="12"/>
      <c r="Q123" s="12"/>
      <c r="R123" s="12"/>
      <c r="S123" s="15"/>
    </row>
    <row r="124" ht="15" customHeight="1" s="4" customFormat="1">
      <c r="A124" s="15"/>
      <c r="B124" s="11"/>
      <c r="C124" s="11"/>
      <c r="D124" s="11"/>
      <c r="E124" s="11"/>
      <c r="F124" s="12"/>
      <c r="G124" s="11"/>
      <c r="H124" s="11"/>
      <c r="I124" s="11"/>
      <c r="J124" s="11"/>
      <c r="K124" s="11"/>
      <c r="L124" s="12"/>
      <c r="M124" s="11"/>
      <c r="N124" s="13"/>
      <c r="O124" s="11"/>
      <c r="P124" s="12"/>
      <c r="Q124" s="12"/>
      <c r="R124" s="12"/>
      <c r="S124" s="15"/>
    </row>
    <row r="125" ht="15" customHeight="1" s="4" customFormat="1">
      <c r="A125" s="15"/>
      <c r="B125" s="11"/>
      <c r="C125" s="11"/>
      <c r="D125" s="11"/>
      <c r="E125" s="11"/>
      <c r="F125" s="12"/>
      <c r="G125" s="11"/>
      <c r="H125" s="11"/>
      <c r="I125" s="11"/>
      <c r="J125" s="11"/>
      <c r="K125" s="11"/>
      <c r="L125" s="12"/>
      <c r="M125" s="11"/>
      <c r="N125" s="13"/>
      <c r="O125" s="11"/>
      <c r="P125" s="12"/>
      <c r="Q125" s="12"/>
      <c r="R125" s="12"/>
      <c r="S125" s="15"/>
    </row>
    <row r="126" ht="15" customHeight="1" s="4" customFormat="1">
      <c r="A126" s="15"/>
      <c r="B126" s="11"/>
      <c r="C126" s="11"/>
      <c r="D126" s="11"/>
      <c r="E126" s="11"/>
      <c r="F126" s="12"/>
      <c r="G126" s="11"/>
      <c r="H126" s="11"/>
      <c r="I126" s="11"/>
      <c r="J126" s="11"/>
      <c r="K126" s="11"/>
      <c r="L126" s="12"/>
      <c r="M126" s="11"/>
      <c r="N126" s="13"/>
      <c r="O126" s="11"/>
      <c r="P126" s="12"/>
      <c r="Q126" s="12"/>
      <c r="R126" s="12"/>
      <c r="S126" s="15"/>
    </row>
    <row r="127" ht="15" customHeight="1" s="4" customFormat="1">
      <c r="A127" s="15"/>
      <c r="B127" s="11"/>
      <c r="C127" s="11"/>
      <c r="D127" s="11"/>
      <c r="E127" s="11"/>
      <c r="F127" s="12"/>
      <c r="G127" s="11"/>
      <c r="H127" s="11"/>
      <c r="I127" s="11"/>
      <c r="J127" s="11"/>
      <c r="K127" s="11"/>
      <c r="L127" s="12"/>
      <c r="M127" s="11"/>
      <c r="N127" s="13"/>
      <c r="O127" s="11"/>
      <c r="P127" s="12"/>
      <c r="Q127" s="12"/>
      <c r="R127" s="12"/>
      <c r="S127" s="15"/>
    </row>
    <row r="128" ht="15" customHeight="1" s="4" customFormat="1">
      <c r="A128" s="15"/>
      <c r="B128" s="11"/>
      <c r="C128" s="11"/>
      <c r="D128" s="11"/>
      <c r="E128" s="11"/>
      <c r="F128" s="12"/>
      <c r="G128" s="11"/>
      <c r="H128" s="11"/>
      <c r="I128" s="11"/>
      <c r="J128" s="11"/>
      <c r="K128" s="11"/>
      <c r="L128" s="12"/>
      <c r="M128" s="11"/>
      <c r="N128" s="13"/>
      <c r="O128" s="11"/>
      <c r="P128" s="12"/>
      <c r="Q128" s="12"/>
      <c r="R128" s="12"/>
      <c r="S128" s="15"/>
    </row>
    <row r="129" ht="15" customHeight="1" s="4" customFormat="1">
      <c r="A129" s="15"/>
      <c r="B129" s="11"/>
      <c r="C129" s="11"/>
      <c r="D129" s="11"/>
      <c r="E129" s="11"/>
      <c r="F129" s="12"/>
      <c r="G129" s="11"/>
      <c r="H129" s="11"/>
      <c r="I129" s="11"/>
      <c r="J129" s="11"/>
      <c r="K129" s="11"/>
      <c r="L129" s="12"/>
      <c r="M129" s="11"/>
      <c r="N129" s="13"/>
      <c r="O129" s="11"/>
      <c r="P129" s="12"/>
      <c r="Q129" s="12"/>
      <c r="R129" s="12"/>
      <c r="S129" s="15"/>
    </row>
    <row r="130" ht="15" customHeight="1" s="4" customFormat="1">
      <c r="A130" s="15"/>
      <c r="B130" s="11"/>
      <c r="C130" s="11"/>
      <c r="D130" s="11"/>
      <c r="E130" s="11"/>
      <c r="F130" s="12"/>
      <c r="G130" s="11"/>
      <c r="H130" s="11"/>
      <c r="I130" s="11"/>
      <c r="J130" s="11"/>
      <c r="K130" s="11"/>
      <c r="L130" s="12"/>
      <c r="M130" s="11"/>
      <c r="N130" s="13"/>
      <c r="O130" s="11"/>
      <c r="P130" s="12"/>
      <c r="Q130" s="12"/>
      <c r="R130" s="12"/>
      <c r="S130" s="15"/>
    </row>
    <row r="131" ht="15" customHeight="1" s="4" customFormat="1">
      <c r="A131" s="15"/>
      <c r="B131" s="11"/>
      <c r="C131" s="11"/>
      <c r="D131" s="11"/>
      <c r="E131" s="11"/>
      <c r="F131" s="12"/>
      <c r="G131" s="11"/>
      <c r="H131" s="11"/>
      <c r="I131" s="11"/>
      <c r="J131" s="11"/>
      <c r="K131" s="11"/>
      <c r="L131" s="12"/>
      <c r="M131" s="11"/>
      <c r="N131" s="13"/>
      <c r="O131" s="11"/>
      <c r="P131" s="12"/>
      <c r="Q131" s="12"/>
      <c r="R131" s="12"/>
      <c r="S131" s="15"/>
    </row>
    <row r="132" ht="15" customHeight="1" s="4" customFormat="1">
      <c r="A132" s="15"/>
      <c r="B132" s="11"/>
      <c r="C132" s="11"/>
      <c r="D132" s="11"/>
      <c r="E132" s="11"/>
      <c r="F132" s="12"/>
      <c r="G132" s="11"/>
      <c r="H132" s="11"/>
      <c r="I132" s="11"/>
      <c r="J132" s="11"/>
      <c r="K132" s="11"/>
      <c r="L132" s="12"/>
      <c r="M132" s="11"/>
      <c r="N132" s="13"/>
      <c r="O132" s="11"/>
      <c r="P132" s="12"/>
      <c r="Q132" s="12"/>
      <c r="R132" s="12"/>
      <c r="S132" s="15"/>
    </row>
    <row r="133" ht="15" customHeight="1" s="4" customFormat="1">
      <c r="A133" s="15"/>
      <c r="B133" s="11"/>
      <c r="C133" s="11"/>
      <c r="D133" s="11"/>
      <c r="E133" s="11"/>
      <c r="F133" s="12"/>
      <c r="G133" s="11"/>
      <c r="H133" s="11"/>
      <c r="I133" s="11"/>
      <c r="J133" s="11"/>
      <c r="K133" s="11"/>
      <c r="L133" s="12"/>
      <c r="M133" s="11"/>
      <c r="N133" s="13"/>
      <c r="O133" s="11"/>
      <c r="P133" s="12"/>
      <c r="Q133" s="12"/>
      <c r="R133" s="12"/>
      <c r="S133" s="15"/>
    </row>
    <row r="134" ht="15" customHeight="1" s="4" customFormat="1">
      <c r="A134" s="15"/>
      <c r="B134" s="11"/>
      <c r="C134" s="11"/>
      <c r="D134" s="11"/>
      <c r="E134" s="11"/>
      <c r="F134" s="12"/>
      <c r="G134" s="11"/>
      <c r="H134" s="11"/>
      <c r="I134" s="11"/>
      <c r="J134" s="11"/>
      <c r="K134" s="11"/>
      <c r="L134" s="12"/>
      <c r="M134" s="11"/>
      <c r="N134" s="13"/>
      <c r="O134" s="11"/>
      <c r="P134" s="12"/>
      <c r="Q134" s="12"/>
      <c r="R134" s="12"/>
      <c r="S134" s="15"/>
    </row>
    <row r="135" ht="15" customHeight="1" s="4" customFormat="1">
      <c r="A135" s="15"/>
      <c r="B135" s="11"/>
      <c r="C135" s="11"/>
      <c r="D135" s="11"/>
      <c r="E135" s="11"/>
      <c r="F135" s="12"/>
      <c r="G135" s="11"/>
      <c r="H135" s="11"/>
      <c r="I135" s="11"/>
      <c r="J135" s="11"/>
      <c r="K135" s="11"/>
      <c r="L135" s="12"/>
      <c r="M135" s="11"/>
      <c r="N135" s="13"/>
      <c r="O135" s="11"/>
      <c r="P135" s="12"/>
      <c r="Q135" s="12"/>
      <c r="R135" s="12"/>
      <c r="S135" s="15"/>
    </row>
    <row r="136" ht="15" customHeight="1" s="4" customFormat="1">
      <c r="A136" s="15"/>
      <c r="B136" s="11"/>
      <c r="C136" s="11"/>
      <c r="D136" s="11"/>
      <c r="E136" s="11"/>
      <c r="F136" s="12"/>
      <c r="G136" s="11"/>
      <c r="H136" s="11"/>
      <c r="I136" s="11"/>
      <c r="J136" s="11"/>
      <c r="K136" s="11"/>
      <c r="L136" s="12"/>
      <c r="M136" s="11"/>
      <c r="N136" s="13"/>
      <c r="O136" s="11"/>
      <c r="P136" s="12"/>
      <c r="Q136" s="12"/>
      <c r="R136" s="12"/>
      <c r="S136" s="15"/>
    </row>
    <row r="137" ht="15" customHeight="1" s="4" customFormat="1">
      <c r="A137" s="15"/>
      <c r="B137" s="11"/>
      <c r="C137" s="11"/>
      <c r="D137" s="11"/>
      <c r="E137" s="11"/>
      <c r="F137" s="12"/>
      <c r="G137" s="11"/>
      <c r="H137" s="11"/>
      <c r="I137" s="11"/>
      <c r="J137" s="11"/>
      <c r="K137" s="11"/>
      <c r="L137" s="12"/>
      <c r="M137" s="11"/>
      <c r="N137" s="13"/>
      <c r="O137" s="11"/>
      <c r="P137" s="12"/>
      <c r="Q137" s="12"/>
      <c r="R137" s="12"/>
      <c r="S137" s="15"/>
    </row>
    <row r="138" ht="15" customHeight="1" s="4" customFormat="1">
      <c r="A138" s="15"/>
      <c r="B138" s="11"/>
      <c r="C138" s="11"/>
      <c r="D138" s="11"/>
      <c r="E138" s="11"/>
      <c r="F138" s="12"/>
      <c r="G138" s="11"/>
      <c r="H138" s="11"/>
      <c r="I138" s="11"/>
      <c r="J138" s="11"/>
      <c r="K138" s="11"/>
      <c r="L138" s="12"/>
      <c r="M138" s="11"/>
      <c r="N138" s="13"/>
      <c r="O138" s="11"/>
      <c r="P138" s="12"/>
      <c r="Q138" s="12"/>
      <c r="R138" s="12"/>
      <c r="S138" s="15"/>
    </row>
    <row r="139" ht="15" customHeight="1" s="4" customFormat="1">
      <c r="A139" s="15"/>
      <c r="B139" s="11"/>
      <c r="C139" s="11"/>
      <c r="D139" s="11"/>
      <c r="E139" s="11"/>
      <c r="F139" s="12"/>
      <c r="G139" s="11"/>
      <c r="H139" s="11"/>
      <c r="I139" s="11"/>
      <c r="J139" s="11"/>
      <c r="K139" s="11"/>
      <c r="L139" s="12"/>
      <c r="M139" s="11"/>
      <c r="N139" s="13"/>
      <c r="O139" s="11"/>
      <c r="P139" s="12"/>
      <c r="Q139" s="12"/>
      <c r="R139" s="12"/>
      <c r="S139" s="15"/>
    </row>
    <row r="140" ht="15" customHeight="1" s="4" customFormat="1">
      <c r="A140" s="15"/>
      <c r="B140" s="11"/>
      <c r="C140" s="11"/>
      <c r="D140" s="11"/>
      <c r="E140" s="11"/>
      <c r="F140" s="12"/>
      <c r="G140" s="11"/>
      <c r="H140" s="11"/>
      <c r="I140" s="11"/>
      <c r="J140" s="11"/>
      <c r="K140" s="11"/>
      <c r="L140" s="12"/>
      <c r="M140" s="11"/>
      <c r="N140" s="13"/>
      <c r="O140" s="11"/>
      <c r="P140" s="12"/>
      <c r="Q140" s="12"/>
      <c r="R140" s="12"/>
      <c r="S140" s="15"/>
    </row>
    <row r="141" ht="15" customHeight="1" s="4" customFormat="1">
      <c r="A141" s="15"/>
      <c r="B141" s="11"/>
      <c r="C141" s="11"/>
      <c r="D141" s="11"/>
      <c r="E141" s="11"/>
      <c r="F141" s="12"/>
      <c r="G141" s="11"/>
      <c r="H141" s="11"/>
      <c r="I141" s="11"/>
      <c r="J141" s="11"/>
      <c r="K141" s="11"/>
      <c r="L141" s="12"/>
      <c r="M141" s="11"/>
      <c r="N141" s="13"/>
      <c r="O141" s="11"/>
      <c r="P141" s="12"/>
      <c r="Q141" s="12"/>
      <c r="R141" s="12"/>
      <c r="S141" s="15"/>
    </row>
    <row r="142" ht="15" customHeight="1" s="4" customFormat="1">
      <c r="A142" s="15"/>
      <c r="B142" s="11"/>
      <c r="C142" s="11"/>
      <c r="D142" s="11"/>
      <c r="E142" s="11"/>
      <c r="F142" s="12"/>
      <c r="G142" s="11"/>
      <c r="H142" s="11"/>
      <c r="I142" s="11"/>
      <c r="J142" s="11"/>
      <c r="K142" s="11"/>
      <c r="L142" s="12"/>
      <c r="M142" s="11"/>
      <c r="N142" s="13"/>
      <c r="O142" s="11"/>
      <c r="P142" s="12"/>
      <c r="Q142" s="12"/>
      <c r="R142" s="12"/>
      <c r="S142" s="15"/>
    </row>
    <row r="143" ht="15" customHeight="1" s="4" customFormat="1">
      <c r="A143" s="15"/>
      <c r="B143" s="11"/>
      <c r="C143" s="11"/>
      <c r="D143" s="11"/>
      <c r="E143" s="11"/>
      <c r="F143" s="12"/>
      <c r="G143" s="11"/>
      <c r="H143" s="11"/>
      <c r="I143" s="11"/>
      <c r="J143" s="11"/>
      <c r="K143" s="11"/>
      <c r="L143" s="12"/>
      <c r="M143" s="11"/>
      <c r="N143" s="13"/>
      <c r="O143" s="11"/>
      <c r="P143" s="12"/>
      <c r="Q143" s="12"/>
      <c r="R143" s="12"/>
      <c r="S143" s="15"/>
    </row>
    <row r="144" ht="15" customHeight="1" s="4" customFormat="1">
      <c r="A144" s="15"/>
      <c r="B144" s="11"/>
      <c r="C144" s="11"/>
      <c r="D144" s="11"/>
      <c r="E144" s="11"/>
      <c r="F144" s="12"/>
      <c r="G144" s="11"/>
      <c r="H144" s="11"/>
      <c r="I144" s="11"/>
      <c r="J144" s="11"/>
      <c r="K144" s="11"/>
      <c r="L144" s="12"/>
      <c r="M144" s="11"/>
      <c r="N144" s="13"/>
      <c r="O144" s="11"/>
      <c r="P144" s="12"/>
      <c r="Q144" s="12"/>
      <c r="R144" s="12"/>
      <c r="S144" s="15"/>
    </row>
    <row r="145" ht="15" customHeight="1" s="4" customFormat="1">
      <c r="A145" s="15"/>
      <c r="B145" s="11"/>
      <c r="C145" s="11"/>
      <c r="D145" s="11"/>
      <c r="E145" s="11"/>
      <c r="F145" s="12"/>
      <c r="G145" s="11"/>
      <c r="H145" s="11"/>
      <c r="I145" s="11"/>
      <c r="J145" s="11"/>
      <c r="K145" s="11"/>
      <c r="L145" s="12"/>
      <c r="M145" s="11"/>
      <c r="N145" s="13"/>
      <c r="O145" s="11"/>
      <c r="P145" s="12"/>
      <c r="Q145" s="12"/>
      <c r="R145" s="12"/>
      <c r="S145" s="15"/>
    </row>
    <row r="146" ht="15" customHeight="1" s="4" customFormat="1">
      <c r="A146" s="15"/>
      <c r="B146" s="11"/>
      <c r="C146" s="11"/>
      <c r="D146" s="11"/>
      <c r="E146" s="11"/>
      <c r="F146" s="12"/>
      <c r="G146" s="11"/>
      <c r="H146" s="11"/>
      <c r="I146" s="11"/>
      <c r="J146" s="11"/>
      <c r="K146" s="11"/>
      <c r="L146" s="12"/>
      <c r="M146" s="11"/>
      <c r="N146" s="13"/>
      <c r="O146" s="11"/>
      <c r="P146" s="12"/>
      <c r="Q146" s="12"/>
      <c r="R146" s="12"/>
      <c r="S146" s="15"/>
    </row>
    <row r="147" ht="15" customHeight="1" s="4" customFormat="1">
      <c r="A147" s="15"/>
      <c r="B147" s="11"/>
      <c r="C147" s="11"/>
      <c r="D147" s="11"/>
      <c r="E147" s="11"/>
      <c r="F147" s="12"/>
      <c r="G147" s="11"/>
      <c r="H147" s="11"/>
      <c r="I147" s="11"/>
      <c r="J147" s="11"/>
      <c r="K147" s="11"/>
      <c r="L147" s="12"/>
      <c r="M147" s="11"/>
      <c r="N147" s="13"/>
      <c r="O147" s="11"/>
      <c r="P147" s="12"/>
      <c r="Q147" s="12"/>
      <c r="R147" s="12"/>
      <c r="S147" s="15"/>
    </row>
    <row r="148" ht="15" customHeight="1" s="4" customFormat="1">
      <c r="A148" s="15"/>
      <c r="B148" s="11"/>
      <c r="C148" s="11"/>
      <c r="D148" s="11"/>
      <c r="E148" s="11"/>
      <c r="F148" s="12"/>
      <c r="G148" s="11"/>
      <c r="H148" s="11"/>
      <c r="I148" s="11"/>
      <c r="J148" s="11"/>
      <c r="K148" s="11"/>
      <c r="L148" s="12"/>
      <c r="M148" s="11"/>
      <c r="N148" s="13"/>
      <c r="O148" s="11"/>
      <c r="P148" s="12"/>
      <c r="Q148" s="12"/>
      <c r="R148" s="12"/>
      <c r="S148" s="15"/>
    </row>
    <row r="149" ht="15" customHeight="1" s="4" customFormat="1">
      <c r="A149" s="15"/>
      <c r="B149" s="11"/>
      <c r="C149" s="11"/>
      <c r="D149" s="11"/>
      <c r="E149" s="11"/>
      <c r="F149" s="12"/>
      <c r="G149" s="11"/>
      <c r="H149" s="11"/>
      <c r="I149" s="11"/>
      <c r="J149" s="11"/>
      <c r="K149" s="11"/>
      <c r="L149" s="12"/>
      <c r="M149" s="11"/>
      <c r="N149" s="13"/>
      <c r="O149" s="11"/>
      <c r="P149" s="12"/>
      <c r="Q149" s="12"/>
      <c r="R149" s="12"/>
      <c r="S149" s="15"/>
    </row>
    <row r="150" ht="15" customHeight="1" s="4" customFormat="1">
      <c r="A150" s="15"/>
      <c r="B150" s="11"/>
      <c r="C150" s="11"/>
      <c r="D150" s="11"/>
      <c r="E150" s="11"/>
      <c r="F150" s="12"/>
      <c r="G150" s="11"/>
      <c r="H150" s="11"/>
      <c r="I150" s="11"/>
      <c r="J150" s="11"/>
      <c r="K150" s="11"/>
      <c r="L150" s="12"/>
      <c r="M150" s="11"/>
      <c r="N150" s="13"/>
      <c r="O150" s="11"/>
      <c r="P150" s="12"/>
      <c r="Q150" s="12"/>
      <c r="R150" s="12"/>
      <c r="S150" s="15"/>
    </row>
    <row r="151" ht="15" customHeight="1" s="4" customFormat="1">
      <c r="A151" s="15"/>
      <c r="B151" s="11"/>
      <c r="C151" s="11"/>
      <c r="D151" s="11"/>
      <c r="E151" s="11"/>
      <c r="F151" s="12"/>
      <c r="G151" s="11"/>
      <c r="H151" s="11"/>
      <c r="I151" s="11"/>
      <c r="J151" s="11"/>
      <c r="K151" s="11"/>
      <c r="L151" s="12"/>
      <c r="M151" s="11"/>
      <c r="N151" s="13"/>
      <c r="O151" s="11"/>
      <c r="P151" s="12"/>
      <c r="Q151" s="12"/>
      <c r="R151" s="12"/>
      <c r="S151" s="15"/>
    </row>
    <row r="152" ht="15" customHeight="1" s="4" customFormat="1">
      <c r="A152" s="15"/>
      <c r="B152" s="11"/>
      <c r="C152" s="11"/>
      <c r="D152" s="11"/>
      <c r="E152" s="11"/>
      <c r="F152" s="12"/>
      <c r="G152" s="11"/>
      <c r="H152" s="11"/>
      <c r="I152" s="11"/>
      <c r="J152" s="11"/>
      <c r="K152" s="11"/>
      <c r="L152" s="12"/>
      <c r="M152" s="11"/>
      <c r="N152" s="13"/>
      <c r="O152" s="11"/>
      <c r="P152" s="12"/>
      <c r="Q152" s="12"/>
      <c r="R152" s="12"/>
      <c r="S152" s="15"/>
    </row>
    <row r="153" ht="15" customHeight="1" s="4" customFormat="1">
      <c r="A153" s="15"/>
      <c r="B153" s="11"/>
      <c r="C153" s="11"/>
      <c r="D153" s="11"/>
      <c r="E153" s="11"/>
      <c r="F153" s="12"/>
      <c r="G153" s="11"/>
      <c r="H153" s="11"/>
      <c r="I153" s="11"/>
      <c r="J153" s="11"/>
      <c r="K153" s="11"/>
      <c r="L153" s="12"/>
      <c r="M153" s="11"/>
      <c r="N153" s="13"/>
      <c r="O153" s="11"/>
      <c r="P153" s="12"/>
      <c r="Q153" s="12"/>
      <c r="R153" s="12"/>
      <c r="S153" s="15"/>
    </row>
    <row r="154" ht="15" customHeight="1" s="4" customFormat="1">
      <c r="A154" s="15"/>
      <c r="B154" s="11"/>
      <c r="C154" s="11"/>
      <c r="D154" s="11"/>
      <c r="E154" s="11"/>
      <c r="F154" s="12"/>
      <c r="G154" s="11"/>
      <c r="H154" s="11"/>
      <c r="I154" s="11"/>
      <c r="J154" s="11"/>
      <c r="K154" s="11"/>
      <c r="L154" s="12"/>
      <c r="M154" s="11"/>
      <c r="N154" s="13"/>
      <c r="O154" s="11"/>
      <c r="P154" s="12"/>
      <c r="Q154" s="12"/>
      <c r="R154" s="12"/>
      <c r="S154" s="15"/>
    </row>
    <row r="155" ht="15" customHeight="1" s="4" customFormat="1">
      <c r="A155" s="15"/>
      <c r="B155" s="11"/>
      <c r="C155" s="11"/>
      <c r="D155" s="11"/>
      <c r="E155" s="11"/>
      <c r="F155" s="12"/>
      <c r="G155" s="11"/>
      <c r="H155" s="11"/>
      <c r="I155" s="11"/>
      <c r="J155" s="11"/>
      <c r="K155" s="11"/>
      <c r="L155" s="12"/>
      <c r="M155" s="11"/>
      <c r="N155" s="13"/>
      <c r="O155" s="11"/>
      <c r="P155" s="12"/>
      <c r="Q155" s="12"/>
      <c r="R155" s="12"/>
      <c r="S155" s="15"/>
    </row>
    <row r="156" ht="15" customHeight="1" s="4" customFormat="1">
      <c r="A156" s="15"/>
      <c r="B156" s="11"/>
      <c r="C156" s="11"/>
      <c r="D156" s="11"/>
      <c r="E156" s="11"/>
      <c r="F156" s="12"/>
      <c r="G156" s="11"/>
      <c r="H156" s="11"/>
      <c r="I156" s="11"/>
      <c r="J156" s="11"/>
      <c r="K156" s="11"/>
      <c r="L156" s="12"/>
      <c r="M156" s="11"/>
      <c r="N156" s="13"/>
      <c r="O156" s="11"/>
      <c r="P156" s="12"/>
      <c r="Q156" s="12"/>
      <c r="R156" s="12"/>
      <c r="S156" s="15"/>
    </row>
    <row r="157" ht="15" customHeight="1" s="4" customFormat="1">
      <c r="A157" s="15"/>
      <c r="B157" s="11"/>
      <c r="C157" s="11"/>
      <c r="D157" s="11"/>
      <c r="E157" s="11"/>
      <c r="F157" s="12"/>
      <c r="G157" s="11"/>
      <c r="H157" s="11"/>
      <c r="I157" s="11"/>
      <c r="J157" s="11"/>
      <c r="K157" s="11"/>
      <c r="L157" s="12"/>
      <c r="M157" s="11"/>
      <c r="N157" s="13"/>
      <c r="O157" s="11"/>
      <c r="P157" s="12"/>
      <c r="Q157" s="12"/>
      <c r="R157" s="12"/>
      <c r="S157" s="15"/>
    </row>
    <row r="158" ht="15" customHeight="1" s="4" customFormat="1">
      <c r="A158" s="15"/>
      <c r="B158" s="11"/>
      <c r="C158" s="11"/>
      <c r="D158" s="11"/>
      <c r="E158" s="11"/>
      <c r="F158" s="12"/>
      <c r="G158" s="11"/>
      <c r="H158" s="11"/>
      <c r="I158" s="11"/>
      <c r="J158" s="11"/>
      <c r="K158" s="11"/>
      <c r="L158" s="12"/>
      <c r="M158" s="11"/>
      <c r="N158" s="13"/>
      <c r="O158" s="11"/>
      <c r="P158" s="12"/>
      <c r="Q158" s="12"/>
      <c r="R158" s="12"/>
      <c r="S158" s="15"/>
    </row>
    <row r="159" ht="15" customHeight="1" s="4" customFormat="1">
      <c r="A159" s="15"/>
      <c r="B159" s="11"/>
      <c r="C159" s="11"/>
      <c r="D159" s="11"/>
      <c r="E159" s="11"/>
      <c r="F159" s="12"/>
      <c r="G159" s="11"/>
      <c r="H159" s="11"/>
      <c r="I159" s="11"/>
      <c r="J159" s="11"/>
      <c r="K159" s="11"/>
      <c r="L159" s="12"/>
      <c r="M159" s="11"/>
      <c r="N159" s="13"/>
      <c r="O159" s="11"/>
      <c r="P159" s="12"/>
      <c r="Q159" s="12"/>
      <c r="R159" s="12"/>
      <c r="S159" s="15"/>
    </row>
    <row r="160" ht="15" customHeight="1" s="4" customFormat="1">
      <c r="A160" s="15"/>
      <c r="B160" s="11"/>
      <c r="C160" s="11"/>
      <c r="D160" s="11"/>
      <c r="E160" s="11"/>
      <c r="F160" s="12"/>
      <c r="G160" s="11"/>
      <c r="H160" s="11"/>
      <c r="I160" s="11"/>
      <c r="J160" s="11"/>
      <c r="K160" s="11"/>
      <c r="L160" s="12"/>
      <c r="M160" s="11"/>
      <c r="N160" s="13"/>
      <c r="O160" s="11"/>
      <c r="P160" s="12"/>
      <c r="Q160" s="12"/>
      <c r="R160" s="12"/>
      <c r="S160" s="15"/>
    </row>
    <row r="161" ht="15" customHeight="1" s="4" customFormat="1">
      <c r="A161" s="15"/>
      <c r="B161" s="11"/>
      <c r="C161" s="11"/>
      <c r="D161" s="11"/>
      <c r="E161" s="11"/>
      <c r="F161" s="12"/>
      <c r="G161" s="11"/>
      <c r="H161" s="11"/>
      <c r="I161" s="11"/>
      <c r="J161" s="11"/>
      <c r="K161" s="11"/>
      <c r="L161" s="12"/>
      <c r="M161" s="11"/>
      <c r="N161" s="13"/>
      <c r="O161" s="11"/>
      <c r="P161" s="12"/>
      <c r="Q161" s="12"/>
      <c r="R161" s="12"/>
      <c r="S161" s="15"/>
    </row>
    <row r="162" ht="15" customHeight="1" s="4" customFormat="1">
      <c r="A162" s="15"/>
      <c r="B162" s="11"/>
      <c r="C162" s="11"/>
      <c r="D162" s="11"/>
      <c r="E162" s="11"/>
      <c r="F162" s="12"/>
      <c r="G162" s="11"/>
      <c r="H162" s="11"/>
      <c r="I162" s="11"/>
      <c r="J162" s="11"/>
      <c r="K162" s="11"/>
      <c r="L162" s="12"/>
      <c r="M162" s="11"/>
      <c r="N162" s="13"/>
      <c r="O162" s="11"/>
      <c r="P162" s="12"/>
      <c r="Q162" s="12"/>
      <c r="R162" s="12"/>
      <c r="S162" s="15"/>
    </row>
    <row r="163" ht="15" customHeight="1" s="4" customFormat="1">
      <c r="A163" s="15"/>
      <c r="B163" s="11"/>
      <c r="C163" s="11"/>
      <c r="D163" s="11"/>
      <c r="E163" s="11"/>
      <c r="F163" s="12"/>
      <c r="G163" s="11"/>
      <c r="H163" s="11"/>
      <c r="I163" s="11"/>
      <c r="J163" s="11"/>
      <c r="K163" s="11"/>
      <c r="L163" s="12"/>
      <c r="M163" s="11"/>
      <c r="N163" s="13"/>
      <c r="O163" s="11"/>
      <c r="P163" s="12"/>
      <c r="Q163" s="12"/>
      <c r="R163" s="12"/>
      <c r="S163" s="15"/>
    </row>
    <row r="164" ht="15" customHeight="1" s="4" customFormat="1">
      <c r="A164" s="15"/>
      <c r="B164" s="11"/>
      <c r="C164" s="11"/>
      <c r="D164" s="11"/>
      <c r="E164" s="11"/>
      <c r="F164" s="12"/>
      <c r="G164" s="11"/>
      <c r="H164" s="11"/>
      <c r="I164" s="11"/>
      <c r="J164" s="11"/>
      <c r="K164" s="11"/>
      <c r="L164" s="12"/>
      <c r="M164" s="11"/>
      <c r="N164" s="13"/>
      <c r="O164" s="11"/>
      <c r="P164" s="12"/>
      <c r="Q164" s="12"/>
      <c r="R164" s="12"/>
      <c r="S164" s="15"/>
    </row>
    <row r="165" ht="15" customHeight="1" s="4" customFormat="1">
      <c r="A165" s="15"/>
      <c r="B165" s="11"/>
      <c r="C165" s="11"/>
      <c r="D165" s="11"/>
      <c r="E165" s="11"/>
      <c r="F165" s="12"/>
      <c r="G165" s="11"/>
      <c r="H165" s="11"/>
      <c r="I165" s="11"/>
      <c r="J165" s="11"/>
      <c r="K165" s="11"/>
      <c r="L165" s="12"/>
      <c r="M165" s="11"/>
      <c r="N165" s="13"/>
      <c r="O165" s="11"/>
      <c r="P165" s="12"/>
      <c r="Q165" s="12"/>
      <c r="R165" s="12"/>
      <c r="S165" s="15"/>
    </row>
    <row r="166" ht="15" customHeight="1" s="4" customFormat="1">
      <c r="A166" s="15"/>
      <c r="B166" s="11"/>
      <c r="C166" s="11"/>
      <c r="D166" s="11"/>
      <c r="E166" s="11"/>
      <c r="F166" s="12"/>
      <c r="G166" s="11"/>
      <c r="H166" s="11"/>
      <c r="I166" s="11"/>
      <c r="J166" s="11"/>
      <c r="K166" s="11"/>
      <c r="L166" s="12"/>
      <c r="M166" s="11"/>
      <c r="N166" s="13"/>
      <c r="O166" s="11"/>
      <c r="P166" s="12"/>
      <c r="Q166" s="12"/>
      <c r="R166" s="12"/>
      <c r="S166" s="15"/>
    </row>
    <row r="167" ht="15" customHeight="1" s="4" customFormat="1">
      <c r="A167" s="15"/>
      <c r="B167" s="11"/>
      <c r="C167" s="11"/>
      <c r="D167" s="11"/>
      <c r="E167" s="11"/>
      <c r="F167" s="12"/>
      <c r="G167" s="11"/>
      <c r="H167" s="11"/>
      <c r="I167" s="11"/>
      <c r="J167" s="11"/>
      <c r="K167" s="11"/>
      <c r="L167" s="12"/>
      <c r="M167" s="11"/>
      <c r="N167" s="13"/>
      <c r="O167" s="11"/>
      <c r="P167" s="12"/>
      <c r="Q167" s="12"/>
      <c r="R167" s="12"/>
      <c r="S167" s="15"/>
    </row>
    <row r="168" ht="15" customHeight="1" s="4" customFormat="1">
      <c r="A168" s="15"/>
      <c r="B168" s="11"/>
      <c r="C168" s="11"/>
      <c r="D168" s="11"/>
      <c r="E168" s="11"/>
      <c r="F168" s="12"/>
      <c r="G168" s="11"/>
      <c r="H168" s="11"/>
      <c r="I168" s="11"/>
      <c r="J168" s="11"/>
      <c r="K168" s="11"/>
      <c r="L168" s="12"/>
      <c r="M168" s="11"/>
      <c r="N168" s="13"/>
      <c r="O168" s="11"/>
      <c r="P168" s="12"/>
      <c r="Q168" s="12"/>
      <c r="R168" s="12"/>
      <c r="S168" s="15"/>
    </row>
    <row r="169" ht="15" customHeight="1" s="4" customFormat="1">
      <c r="A169" s="15"/>
      <c r="B169" s="11"/>
      <c r="C169" s="11"/>
      <c r="D169" s="11"/>
      <c r="E169" s="11"/>
      <c r="F169" s="12"/>
      <c r="G169" s="11"/>
      <c r="H169" s="11"/>
      <c r="I169" s="11"/>
      <c r="J169" s="11"/>
      <c r="K169" s="11"/>
      <c r="L169" s="12"/>
      <c r="M169" s="11"/>
      <c r="N169" s="13"/>
      <c r="O169" s="11"/>
      <c r="P169" s="12"/>
      <c r="Q169" s="12"/>
      <c r="R169" s="12"/>
      <c r="S169" s="15"/>
    </row>
    <row r="170" ht="15" customHeight="1" s="4" customFormat="1">
      <c r="A170" s="15"/>
      <c r="B170" s="11"/>
      <c r="C170" s="11"/>
      <c r="D170" s="11"/>
      <c r="E170" s="11"/>
      <c r="F170" s="12"/>
      <c r="G170" s="11"/>
      <c r="H170" s="11"/>
      <c r="I170" s="11"/>
      <c r="J170" s="11"/>
      <c r="K170" s="11"/>
      <c r="L170" s="12"/>
      <c r="M170" s="11"/>
      <c r="N170" s="13"/>
      <c r="O170" s="11"/>
      <c r="P170" s="12"/>
      <c r="Q170" s="12"/>
      <c r="R170" s="12"/>
      <c r="S170" s="15"/>
    </row>
    <row r="171" ht="15" customHeight="1" s="4" customFormat="1">
      <c r="A171" s="15"/>
      <c r="B171" s="11"/>
      <c r="C171" s="11"/>
      <c r="D171" s="11"/>
      <c r="E171" s="11"/>
      <c r="F171" s="12"/>
      <c r="G171" s="11"/>
      <c r="H171" s="11"/>
      <c r="I171" s="11"/>
      <c r="J171" s="11"/>
      <c r="K171" s="11"/>
      <c r="L171" s="12"/>
      <c r="M171" s="11"/>
      <c r="N171" s="13"/>
      <c r="O171" s="11"/>
      <c r="P171" s="12"/>
      <c r="Q171" s="12"/>
      <c r="R171" s="12"/>
      <c r="S171" s="15"/>
    </row>
    <row r="172" ht="15" customHeight="1" s="4" customFormat="1">
      <c r="A172" s="15"/>
      <c r="B172" s="11"/>
      <c r="C172" s="11"/>
      <c r="D172" s="11"/>
      <c r="E172" s="11"/>
      <c r="F172" s="12"/>
      <c r="G172" s="11"/>
      <c r="H172" s="11"/>
      <c r="I172" s="11"/>
      <c r="J172" s="11"/>
      <c r="K172" s="11"/>
      <c r="L172" s="12"/>
      <c r="M172" s="11"/>
      <c r="N172" s="13"/>
      <c r="O172" s="11"/>
      <c r="P172" s="12"/>
      <c r="Q172" s="12"/>
      <c r="R172" s="12"/>
      <c r="S172" s="15"/>
    </row>
    <row r="173" ht="15" customHeight="1" s="4" customFormat="1">
      <c r="A173" s="15"/>
      <c r="B173" s="11"/>
      <c r="C173" s="11"/>
      <c r="D173" s="11"/>
      <c r="E173" s="11"/>
      <c r="F173" s="12"/>
      <c r="G173" s="11"/>
      <c r="H173" s="11"/>
      <c r="I173" s="11"/>
      <c r="J173" s="11"/>
      <c r="K173" s="11"/>
      <c r="L173" s="12"/>
      <c r="M173" s="11"/>
      <c r="N173" s="13"/>
      <c r="O173" s="11"/>
      <c r="P173" s="12"/>
      <c r="Q173" s="12"/>
      <c r="R173" s="12"/>
      <c r="S173" s="15"/>
    </row>
    <row r="174" ht="15" customHeight="1" s="4" customFormat="1">
      <c r="A174" s="15"/>
      <c r="B174" s="11"/>
      <c r="C174" s="11"/>
      <c r="D174" s="11"/>
      <c r="E174" s="11"/>
      <c r="F174" s="12"/>
      <c r="G174" s="11"/>
      <c r="H174" s="11"/>
      <c r="I174" s="11"/>
      <c r="J174" s="11"/>
      <c r="K174" s="11"/>
      <c r="L174" s="12"/>
      <c r="M174" s="11"/>
      <c r="N174" s="13"/>
      <c r="O174" s="11"/>
      <c r="P174" s="12"/>
      <c r="Q174" s="12"/>
      <c r="R174" s="12"/>
      <c r="S174" s="15"/>
    </row>
    <row r="175" ht="15" customHeight="1" s="4" customFormat="1">
      <c r="A175" s="15"/>
      <c r="B175" s="11"/>
      <c r="C175" s="11"/>
      <c r="D175" s="11"/>
      <c r="E175" s="11"/>
      <c r="F175" s="12"/>
      <c r="G175" s="11"/>
      <c r="H175" s="11"/>
      <c r="I175" s="11"/>
      <c r="J175" s="11"/>
      <c r="K175" s="11"/>
      <c r="L175" s="12"/>
      <c r="M175" s="11"/>
      <c r="N175" s="13"/>
      <c r="O175" s="11"/>
      <c r="P175" s="12"/>
      <c r="Q175" s="12"/>
      <c r="R175" s="12"/>
      <c r="S175" s="15"/>
    </row>
    <row r="176" ht="15" customHeight="1" s="4" customFormat="1">
      <c r="A176" s="15"/>
      <c r="B176" s="11"/>
      <c r="C176" s="11"/>
      <c r="D176" s="11"/>
      <c r="E176" s="11"/>
      <c r="F176" s="12"/>
      <c r="G176" s="11"/>
      <c r="H176" s="11"/>
      <c r="I176" s="11"/>
      <c r="J176" s="11"/>
      <c r="K176" s="11"/>
      <c r="L176" s="12"/>
      <c r="M176" s="11"/>
      <c r="N176" s="13"/>
      <c r="O176" s="11"/>
      <c r="P176" s="12"/>
      <c r="Q176" s="12"/>
      <c r="R176" s="12"/>
      <c r="S176" s="15"/>
    </row>
    <row r="177" ht="15" customHeight="1" s="4" customFormat="1">
      <c r="A177" s="15"/>
      <c r="B177" s="11"/>
      <c r="C177" s="11"/>
      <c r="D177" s="11"/>
      <c r="E177" s="11"/>
      <c r="F177" s="12"/>
      <c r="G177" s="11"/>
      <c r="H177" s="11"/>
      <c r="I177" s="11"/>
      <c r="J177" s="11"/>
      <c r="K177" s="11"/>
      <c r="L177" s="12"/>
      <c r="M177" s="11"/>
      <c r="N177" s="13"/>
      <c r="O177" s="11"/>
      <c r="P177" s="12"/>
      <c r="Q177" s="12"/>
      <c r="R177" s="12"/>
      <c r="S177" s="15"/>
    </row>
    <row r="178" ht="15" customHeight="1" s="4" customFormat="1">
      <c r="A178" s="15"/>
      <c r="B178" s="11"/>
      <c r="C178" s="11"/>
      <c r="D178" s="11"/>
      <c r="E178" s="11"/>
      <c r="F178" s="12"/>
      <c r="G178" s="11"/>
      <c r="H178" s="11"/>
      <c r="I178" s="11"/>
      <c r="J178" s="11"/>
      <c r="K178" s="11"/>
      <c r="L178" s="12"/>
      <c r="M178" s="11"/>
      <c r="N178" s="13"/>
      <c r="O178" s="11"/>
      <c r="P178" s="12"/>
      <c r="Q178" s="12"/>
      <c r="R178" s="12"/>
      <c r="S178" s="15"/>
    </row>
    <row r="179" ht="15" customHeight="1" s="4" customFormat="1">
      <c r="A179" s="15"/>
      <c r="B179" s="11"/>
      <c r="C179" s="11"/>
      <c r="D179" s="11"/>
      <c r="E179" s="11"/>
      <c r="F179" s="12"/>
      <c r="G179" s="11"/>
      <c r="H179" s="11"/>
      <c r="I179" s="11"/>
      <c r="J179" s="11"/>
      <c r="K179" s="11"/>
      <c r="L179" s="12"/>
      <c r="M179" s="11"/>
      <c r="N179" s="13"/>
      <c r="O179" s="11"/>
      <c r="P179" s="12"/>
      <c r="Q179" s="12"/>
      <c r="R179" s="12"/>
      <c r="S179" s="15"/>
    </row>
    <row r="180" ht="15" customHeight="1" s="4" customFormat="1">
      <c r="A180" s="15"/>
      <c r="B180" s="11"/>
      <c r="C180" s="11"/>
      <c r="D180" s="11"/>
      <c r="E180" s="11"/>
      <c r="F180" s="12"/>
      <c r="G180" s="11"/>
      <c r="H180" s="11"/>
      <c r="I180" s="11"/>
      <c r="J180" s="11"/>
      <c r="K180" s="11"/>
      <c r="L180" s="12"/>
      <c r="M180" s="11"/>
      <c r="N180" s="13"/>
      <c r="O180" s="11"/>
      <c r="P180" s="12"/>
      <c r="Q180" s="12"/>
      <c r="R180" s="12"/>
      <c r="S180" s="15"/>
    </row>
    <row r="181" ht="15" customHeight="1" s="4" customFormat="1">
      <c r="A181" s="15"/>
      <c r="B181" s="11"/>
      <c r="C181" s="11"/>
      <c r="D181" s="11"/>
      <c r="E181" s="11"/>
      <c r="F181" s="12"/>
      <c r="G181" s="11"/>
      <c r="H181" s="11"/>
      <c r="I181" s="11"/>
      <c r="J181" s="11"/>
      <c r="K181" s="11"/>
      <c r="L181" s="12"/>
      <c r="M181" s="11"/>
      <c r="N181" s="13"/>
      <c r="O181" s="11"/>
      <c r="P181" s="12"/>
      <c r="Q181" s="12"/>
      <c r="R181" s="12"/>
      <c r="S181" s="15"/>
    </row>
    <row r="182" ht="15" customHeight="1" s="4" customFormat="1">
      <c r="A182" s="15"/>
      <c r="B182" s="11"/>
      <c r="C182" s="11"/>
      <c r="D182" s="11"/>
      <c r="E182" s="11"/>
      <c r="F182" s="12"/>
      <c r="G182" s="11"/>
      <c r="H182" s="11"/>
      <c r="I182" s="11"/>
      <c r="J182" s="11"/>
      <c r="K182" s="11"/>
      <c r="L182" s="12"/>
      <c r="M182" s="11"/>
      <c r="N182" s="13"/>
      <c r="O182" s="11"/>
      <c r="P182" s="12"/>
      <c r="Q182" s="12"/>
      <c r="R182" s="12"/>
      <c r="S182" s="15"/>
    </row>
    <row r="183" ht="15" customHeight="1" s="4" customFormat="1">
      <c r="A183" s="15"/>
      <c r="B183" s="11"/>
      <c r="C183" s="11"/>
      <c r="D183" s="11"/>
      <c r="E183" s="11"/>
      <c r="F183" s="12"/>
      <c r="G183" s="11"/>
      <c r="H183" s="11"/>
      <c r="I183" s="11"/>
      <c r="J183" s="11"/>
      <c r="K183" s="11"/>
      <c r="L183" s="12"/>
      <c r="M183" s="11"/>
      <c r="N183" s="13"/>
      <c r="O183" s="11"/>
      <c r="P183" s="12"/>
      <c r="Q183" s="12"/>
      <c r="R183" s="12"/>
      <c r="S183" s="15"/>
    </row>
    <row r="184" ht="15" customHeight="1" s="4" customFormat="1">
      <c r="A184" s="15"/>
      <c r="B184" s="11"/>
      <c r="C184" s="11"/>
      <c r="D184" s="11"/>
      <c r="E184" s="11"/>
      <c r="F184" s="12"/>
      <c r="G184" s="11"/>
      <c r="H184" s="11"/>
      <c r="I184" s="11"/>
      <c r="J184" s="11"/>
      <c r="K184" s="11"/>
      <c r="L184" s="12"/>
      <c r="M184" s="11"/>
      <c r="N184" s="13"/>
      <c r="O184" s="11"/>
      <c r="P184" s="12"/>
      <c r="Q184" s="12"/>
      <c r="R184" s="12"/>
      <c r="S184" s="15"/>
    </row>
    <row r="185" ht="15" customHeight="1" s="4" customFormat="1">
      <c r="A185" s="15"/>
      <c r="B185" s="11"/>
      <c r="C185" s="11"/>
      <c r="D185" s="11"/>
      <c r="E185" s="11"/>
      <c r="F185" s="12"/>
      <c r="G185" s="11"/>
      <c r="H185" s="11"/>
      <c r="I185" s="11"/>
      <c r="J185" s="11"/>
      <c r="K185" s="11"/>
      <c r="L185" s="12"/>
      <c r="M185" s="11"/>
      <c r="N185" s="13"/>
      <c r="O185" s="11"/>
      <c r="P185" s="12"/>
      <c r="Q185" s="12"/>
      <c r="R185" s="12"/>
      <c r="S185" s="15"/>
    </row>
    <row r="186" ht="15" customHeight="1" s="4" customFormat="1">
      <c r="A186" s="15"/>
      <c r="B186" s="11"/>
      <c r="C186" s="11"/>
      <c r="D186" s="11"/>
      <c r="E186" s="11"/>
      <c r="F186" s="12"/>
      <c r="G186" s="11"/>
      <c r="H186" s="11"/>
      <c r="I186" s="11"/>
      <c r="J186" s="11"/>
      <c r="K186" s="11"/>
      <c r="L186" s="12"/>
      <c r="M186" s="11"/>
      <c r="N186" s="13"/>
      <c r="O186" s="11"/>
      <c r="P186" s="12"/>
      <c r="Q186" s="12"/>
      <c r="R186" s="12"/>
      <c r="S186" s="15"/>
    </row>
    <row r="187" ht="15" customHeight="1" s="4" customFormat="1">
      <c r="A187" s="15"/>
      <c r="B187" s="11"/>
      <c r="C187" s="11"/>
      <c r="D187" s="11"/>
      <c r="E187" s="11"/>
      <c r="F187" s="12"/>
      <c r="G187" s="11"/>
      <c r="H187" s="11"/>
      <c r="I187" s="11"/>
      <c r="J187" s="11"/>
      <c r="K187" s="11"/>
      <c r="L187" s="12"/>
      <c r="M187" s="11"/>
      <c r="N187" s="13"/>
      <c r="O187" s="11"/>
      <c r="P187" s="12"/>
      <c r="Q187" s="12"/>
      <c r="R187" s="12"/>
      <c r="S187" s="15"/>
    </row>
    <row r="188" ht="15" customHeight="1" s="4" customFormat="1">
      <c r="A188" s="15"/>
      <c r="B188" s="11"/>
      <c r="C188" s="11"/>
      <c r="D188" s="11"/>
      <c r="E188" s="11"/>
      <c r="F188" s="12"/>
      <c r="G188" s="11"/>
      <c r="H188" s="11"/>
      <c r="I188" s="11"/>
      <c r="J188" s="11"/>
      <c r="K188" s="11"/>
      <c r="L188" s="12"/>
      <c r="M188" s="11"/>
      <c r="N188" s="13"/>
      <c r="O188" s="11"/>
      <c r="P188" s="12"/>
      <c r="Q188" s="12"/>
      <c r="R188" s="12"/>
      <c r="S188" s="15"/>
    </row>
    <row r="189" ht="15" customHeight="1" s="4" customFormat="1">
      <c r="A189" s="15"/>
      <c r="B189" s="11"/>
      <c r="C189" s="11"/>
      <c r="D189" s="11"/>
      <c r="E189" s="11"/>
      <c r="F189" s="12"/>
      <c r="G189" s="11"/>
      <c r="H189" s="11"/>
      <c r="I189" s="11"/>
      <c r="J189" s="11"/>
      <c r="K189" s="11"/>
      <c r="L189" s="12"/>
      <c r="M189" s="11"/>
      <c r="N189" s="13"/>
      <c r="O189" s="11"/>
      <c r="P189" s="12"/>
      <c r="Q189" s="12"/>
      <c r="R189" s="12"/>
      <c r="S189" s="15"/>
    </row>
    <row r="190" ht="15" customHeight="1" s="4" customFormat="1">
      <c r="A190" s="15"/>
      <c r="B190" s="11"/>
      <c r="C190" s="11"/>
      <c r="D190" s="11"/>
      <c r="E190" s="11"/>
      <c r="F190" s="12"/>
      <c r="G190" s="11"/>
      <c r="H190" s="11"/>
      <c r="I190" s="11"/>
      <c r="J190" s="11"/>
      <c r="K190" s="11"/>
      <c r="L190" s="12"/>
      <c r="M190" s="11"/>
      <c r="N190" s="13"/>
      <c r="O190" s="11"/>
      <c r="P190" s="12"/>
      <c r="Q190" s="12"/>
      <c r="R190" s="12"/>
      <c r="S190" s="15"/>
    </row>
    <row r="191" ht="15" customHeight="1" s="4" customFormat="1">
      <c r="A191" s="15"/>
      <c r="B191" s="11"/>
      <c r="C191" s="11"/>
      <c r="D191" s="11"/>
      <c r="E191" s="11"/>
      <c r="F191" s="12"/>
      <c r="G191" s="11"/>
      <c r="H191" s="11"/>
      <c r="I191" s="11"/>
      <c r="J191" s="11"/>
      <c r="K191" s="11"/>
      <c r="L191" s="12"/>
      <c r="M191" s="11"/>
      <c r="N191" s="13"/>
      <c r="O191" s="11"/>
      <c r="P191" s="12"/>
      <c r="Q191" s="12"/>
      <c r="R191" s="12"/>
      <c r="S191" s="15"/>
    </row>
    <row r="192" ht="15" customHeight="1" s="4" customFormat="1">
      <c r="A192" s="15"/>
      <c r="B192" s="11"/>
      <c r="C192" s="11"/>
      <c r="D192" s="11"/>
      <c r="E192" s="11"/>
      <c r="F192" s="12"/>
      <c r="G192" s="11"/>
      <c r="H192" s="11"/>
      <c r="I192" s="11"/>
      <c r="J192" s="11"/>
      <c r="K192" s="11"/>
      <c r="L192" s="12"/>
      <c r="M192" s="11"/>
      <c r="N192" s="13"/>
      <c r="O192" s="11"/>
      <c r="P192" s="12"/>
      <c r="Q192" s="12"/>
      <c r="R192" s="12"/>
      <c r="S192" s="15"/>
    </row>
    <row r="193" ht="15" customHeight="1" s="4" customFormat="1">
      <c r="A193" s="15"/>
      <c r="B193" s="11"/>
      <c r="C193" s="11"/>
      <c r="D193" s="11"/>
      <c r="E193" s="11"/>
      <c r="F193" s="12"/>
      <c r="G193" s="11"/>
      <c r="H193" s="11"/>
      <c r="I193" s="11"/>
      <c r="J193" s="11"/>
      <c r="K193" s="11"/>
      <c r="L193" s="12"/>
      <c r="M193" s="11"/>
      <c r="N193" s="13"/>
      <c r="O193" s="11"/>
      <c r="P193" s="12"/>
      <c r="Q193" s="12"/>
      <c r="R193" s="12"/>
      <c r="S193" s="15"/>
    </row>
    <row r="194" ht="15" customHeight="1" s="4" customFormat="1">
      <c r="A194" s="15"/>
      <c r="B194" s="11"/>
      <c r="C194" s="11"/>
      <c r="D194" s="11"/>
      <c r="E194" s="11"/>
      <c r="F194" s="12"/>
      <c r="G194" s="11"/>
      <c r="H194" s="11"/>
      <c r="I194" s="11"/>
      <c r="J194" s="11"/>
      <c r="K194" s="11"/>
      <c r="L194" s="12"/>
      <c r="M194" s="11"/>
      <c r="N194" s="13"/>
      <c r="O194" s="11"/>
      <c r="P194" s="12"/>
      <c r="Q194" s="12"/>
      <c r="R194" s="12"/>
      <c r="S194" s="15"/>
    </row>
    <row r="195" ht="15" customHeight="1" s="4" customFormat="1">
      <c r="A195" s="15"/>
      <c r="B195" s="11"/>
      <c r="C195" s="11"/>
      <c r="D195" s="11"/>
      <c r="E195" s="11"/>
      <c r="F195" s="12"/>
      <c r="G195" s="11"/>
      <c r="H195" s="11"/>
      <c r="I195" s="11"/>
      <c r="J195" s="11"/>
      <c r="K195" s="11"/>
      <c r="L195" s="12"/>
      <c r="M195" s="11"/>
      <c r="N195" s="13"/>
      <c r="O195" s="11"/>
      <c r="P195" s="12"/>
      <c r="Q195" s="12"/>
      <c r="R195" s="12"/>
      <c r="S195" s="15"/>
    </row>
    <row r="196" ht="15" customHeight="1" s="4" customFormat="1">
      <c r="A196" s="15"/>
      <c r="B196" s="11"/>
      <c r="C196" s="11"/>
      <c r="D196" s="11"/>
      <c r="E196" s="11"/>
      <c r="F196" s="12"/>
      <c r="G196" s="11"/>
      <c r="H196" s="11"/>
      <c r="I196" s="11"/>
      <c r="J196" s="11"/>
      <c r="K196" s="11"/>
      <c r="L196" s="12"/>
      <c r="M196" s="11"/>
      <c r="N196" s="13"/>
      <c r="O196" s="11"/>
      <c r="P196" s="12"/>
      <c r="Q196" s="12"/>
      <c r="R196" s="12"/>
      <c r="S196" s="15"/>
    </row>
    <row r="197" ht="15" customHeight="1" s="4" customFormat="1">
      <c r="A197" s="15"/>
      <c r="B197" s="11"/>
      <c r="C197" s="11"/>
      <c r="D197" s="11"/>
      <c r="E197" s="11"/>
      <c r="F197" s="12"/>
      <c r="G197" s="11"/>
      <c r="H197" s="11"/>
      <c r="I197" s="11"/>
      <c r="J197" s="11"/>
      <c r="K197" s="11"/>
      <c r="L197" s="12"/>
      <c r="M197" s="11"/>
      <c r="N197" s="13"/>
      <c r="O197" s="11"/>
      <c r="P197" s="12"/>
      <c r="Q197" s="12"/>
      <c r="R197" s="12"/>
      <c r="S197" s="15"/>
    </row>
    <row r="198" ht="15" customHeight="1" s="4" customFormat="1">
      <c r="A198" s="15"/>
      <c r="B198" s="11"/>
      <c r="C198" s="11"/>
      <c r="D198" s="11"/>
      <c r="E198" s="11"/>
      <c r="F198" s="12"/>
      <c r="G198" s="11"/>
      <c r="H198" s="11"/>
      <c r="I198" s="11"/>
      <c r="J198" s="11"/>
      <c r="K198" s="11"/>
      <c r="L198" s="12"/>
      <c r="M198" s="11"/>
      <c r="N198" s="13"/>
      <c r="O198" s="11"/>
      <c r="P198" s="12"/>
      <c r="Q198" s="12"/>
      <c r="R198" s="12"/>
      <c r="S198" s="15"/>
    </row>
    <row r="199" ht="15" customHeight="1" s="4" customFormat="1">
      <c r="A199" s="15"/>
      <c r="B199" s="11"/>
      <c r="C199" s="11"/>
      <c r="D199" s="11"/>
      <c r="E199" s="11"/>
      <c r="F199" s="12"/>
      <c r="G199" s="11"/>
      <c r="H199" s="11"/>
      <c r="I199" s="11"/>
      <c r="J199" s="11"/>
      <c r="K199" s="11"/>
      <c r="L199" s="12"/>
      <c r="M199" s="11"/>
      <c r="N199" s="13"/>
      <c r="O199" s="11"/>
      <c r="P199" s="12"/>
      <c r="Q199" s="12"/>
      <c r="R199" s="12"/>
      <c r="S199" s="15"/>
    </row>
    <row r="200" ht="15" customHeight="1" s="4" customFormat="1">
      <c r="A200" s="15"/>
      <c r="B200" s="11"/>
      <c r="C200" s="11"/>
      <c r="D200" s="11"/>
      <c r="E200" s="11"/>
      <c r="F200" s="12"/>
      <c r="G200" s="11"/>
      <c r="H200" s="11"/>
      <c r="I200" s="11"/>
      <c r="J200" s="11"/>
      <c r="K200" s="11"/>
      <c r="L200" s="12"/>
      <c r="M200" s="11"/>
      <c r="N200" s="13"/>
      <c r="O200" s="11"/>
      <c r="P200" s="12"/>
      <c r="Q200" s="12"/>
      <c r="R200" s="12"/>
      <c r="S200" s="15"/>
    </row>
    <row r="201" ht="15" customHeight="1" s="4" customFormat="1">
      <c r="A201" s="15"/>
      <c r="B201" s="11"/>
      <c r="C201" s="11"/>
      <c r="D201" s="11"/>
      <c r="E201" s="11"/>
      <c r="F201" s="12"/>
      <c r="G201" s="11"/>
      <c r="H201" s="11"/>
      <c r="I201" s="11"/>
      <c r="J201" s="11"/>
      <c r="K201" s="11"/>
      <c r="L201" s="12"/>
      <c r="M201" s="11"/>
      <c r="N201" s="13"/>
      <c r="O201" s="11"/>
      <c r="P201" s="12"/>
      <c r="Q201" s="12"/>
      <c r="R201" s="12"/>
      <c r="S201" s="15"/>
    </row>
    <row r="202" ht="15" customHeight="1" s="4" customFormat="1">
      <c r="A202" s="15"/>
      <c r="B202" s="11"/>
      <c r="C202" s="11"/>
      <c r="D202" s="11"/>
      <c r="E202" s="11"/>
      <c r="F202" s="12"/>
      <c r="G202" s="11"/>
      <c r="H202" s="11"/>
      <c r="I202" s="11"/>
      <c r="J202" s="11"/>
      <c r="K202" s="11"/>
      <c r="L202" s="12"/>
      <c r="M202" s="11"/>
      <c r="N202" s="13"/>
      <c r="O202" s="11"/>
      <c r="P202" s="12"/>
      <c r="Q202" s="12"/>
      <c r="R202" s="12"/>
      <c r="S202" s="15"/>
    </row>
    <row r="203" ht="15" customHeight="1" s="4" customFormat="1">
      <c r="A203" s="15"/>
      <c r="B203" s="11"/>
      <c r="C203" s="11"/>
      <c r="D203" s="11"/>
      <c r="E203" s="11"/>
      <c r="F203" s="12"/>
      <c r="G203" s="11"/>
      <c r="H203" s="11"/>
      <c r="I203" s="11"/>
      <c r="J203" s="11"/>
      <c r="K203" s="11"/>
      <c r="L203" s="12"/>
      <c r="M203" s="11"/>
      <c r="N203" s="13"/>
      <c r="O203" s="11"/>
      <c r="P203" s="12"/>
      <c r="Q203" s="12"/>
      <c r="R203" s="12"/>
      <c r="S203" s="15"/>
    </row>
    <row r="204" ht="15" customHeight="1" s="4" customFormat="1">
      <c r="A204" s="15"/>
      <c r="B204" s="11"/>
      <c r="C204" s="11"/>
      <c r="D204" s="11"/>
      <c r="E204" s="11"/>
      <c r="F204" s="12"/>
      <c r="G204" s="11"/>
      <c r="H204" s="11"/>
      <c r="I204" s="11"/>
      <c r="J204" s="11"/>
      <c r="K204" s="11"/>
      <c r="L204" s="12"/>
      <c r="M204" s="11"/>
      <c r="N204" s="13"/>
      <c r="O204" s="11"/>
      <c r="P204" s="12"/>
      <c r="Q204" s="12"/>
      <c r="R204" s="12"/>
      <c r="S204" s="15"/>
    </row>
    <row r="205" ht="15" customHeight="1" s="4" customFormat="1">
      <c r="A205" s="15"/>
      <c r="B205" s="11"/>
      <c r="C205" s="11"/>
      <c r="D205" s="11"/>
      <c r="E205" s="11"/>
      <c r="F205" s="12"/>
      <c r="G205" s="11"/>
      <c r="H205" s="11"/>
      <c r="I205" s="11"/>
      <c r="J205" s="11"/>
      <c r="K205" s="11"/>
      <c r="L205" s="12"/>
      <c r="M205" s="11"/>
      <c r="N205" s="13"/>
      <c r="O205" s="11"/>
      <c r="P205" s="12"/>
      <c r="Q205" s="12"/>
      <c r="R205" s="12"/>
      <c r="S205" s="15"/>
    </row>
    <row r="206" ht="15" customHeight="1" s="4" customFormat="1">
      <c r="A206" s="15"/>
      <c r="B206" s="11"/>
      <c r="C206" s="11"/>
      <c r="D206" s="11"/>
      <c r="E206" s="11"/>
      <c r="F206" s="12"/>
      <c r="G206" s="11"/>
      <c r="H206" s="11"/>
      <c r="I206" s="11"/>
      <c r="J206" s="11"/>
      <c r="K206" s="11"/>
      <c r="L206" s="12"/>
      <c r="M206" s="11"/>
      <c r="N206" s="13"/>
      <c r="O206" s="11"/>
      <c r="P206" s="12"/>
      <c r="Q206" s="12"/>
      <c r="R206" s="12"/>
      <c r="S206" s="15"/>
    </row>
    <row r="207" ht="15" customHeight="1" s="4" customFormat="1">
      <c r="A207" s="15"/>
      <c r="B207" s="11"/>
      <c r="C207" s="11"/>
      <c r="D207" s="11"/>
      <c r="E207" s="11"/>
      <c r="F207" s="12"/>
      <c r="G207" s="11"/>
      <c r="H207" s="11"/>
      <c r="I207" s="11"/>
      <c r="J207" s="11"/>
      <c r="K207" s="11"/>
      <c r="L207" s="12"/>
      <c r="M207" s="11"/>
      <c r="N207" s="13"/>
      <c r="O207" s="11"/>
      <c r="P207" s="12"/>
      <c r="Q207" s="12"/>
      <c r="R207" s="12"/>
      <c r="S207" s="15"/>
    </row>
    <row r="208" ht="15" customHeight="1" s="4" customFormat="1">
      <c r="A208" s="15"/>
      <c r="B208" s="11"/>
      <c r="C208" s="11"/>
      <c r="D208" s="11"/>
      <c r="E208" s="11"/>
      <c r="F208" s="12"/>
      <c r="G208" s="11"/>
      <c r="H208" s="11"/>
      <c r="I208" s="11"/>
      <c r="J208" s="11"/>
      <c r="K208" s="11"/>
      <c r="L208" s="12"/>
      <c r="M208" s="11"/>
      <c r="N208" s="13"/>
      <c r="O208" s="11"/>
      <c r="P208" s="12"/>
      <c r="Q208" s="12"/>
      <c r="R208" s="12"/>
      <c r="S208" s="15"/>
    </row>
    <row r="209" ht="15" customHeight="1" s="4" customFormat="1">
      <c r="A209" s="15"/>
      <c r="B209" s="11"/>
      <c r="C209" s="11"/>
      <c r="D209" s="11"/>
      <c r="E209" s="11"/>
      <c r="F209" s="12"/>
      <c r="G209" s="11"/>
      <c r="H209" s="11"/>
      <c r="I209" s="11"/>
      <c r="J209" s="11"/>
      <c r="K209" s="11"/>
      <c r="L209" s="12"/>
      <c r="M209" s="11"/>
      <c r="N209" s="13"/>
      <c r="O209" s="11"/>
      <c r="P209" s="12"/>
      <c r="Q209" s="12"/>
      <c r="R209" s="12"/>
      <c r="S209" s="15"/>
    </row>
    <row r="210" ht="15" customHeight="1" s="4" customFormat="1">
      <c r="A210" s="15"/>
      <c r="B210" s="11"/>
      <c r="C210" s="11"/>
      <c r="D210" s="11"/>
      <c r="E210" s="11"/>
      <c r="F210" s="12"/>
      <c r="G210" s="11"/>
      <c r="H210" s="11"/>
      <c r="I210" s="11"/>
      <c r="J210" s="11"/>
      <c r="K210" s="11"/>
      <c r="L210" s="12"/>
      <c r="M210" s="11"/>
      <c r="N210" s="13"/>
      <c r="O210" s="11"/>
      <c r="P210" s="12"/>
      <c r="Q210" s="12"/>
      <c r="R210" s="12"/>
      <c r="S210" s="15"/>
    </row>
    <row r="211" ht="15" customHeight="1" s="4" customFormat="1">
      <c r="A211" s="15"/>
      <c r="B211" s="11"/>
      <c r="C211" s="11"/>
      <c r="D211" s="11"/>
      <c r="E211" s="11"/>
      <c r="F211" s="12"/>
      <c r="G211" s="11"/>
      <c r="H211" s="11"/>
      <c r="I211" s="11"/>
      <c r="J211" s="11"/>
      <c r="K211" s="11"/>
      <c r="L211" s="12"/>
      <c r="M211" s="11"/>
      <c r="N211" s="13"/>
      <c r="O211" s="11"/>
      <c r="P211" s="12"/>
      <c r="Q211" s="12"/>
      <c r="R211" s="12"/>
      <c r="S211" s="15"/>
    </row>
    <row r="212" ht="15" customHeight="1" s="4" customFormat="1">
      <c r="A212" s="15"/>
      <c r="B212" s="11"/>
      <c r="C212" s="11"/>
      <c r="D212" s="11"/>
      <c r="E212" s="11"/>
      <c r="F212" s="12"/>
      <c r="G212" s="11"/>
      <c r="H212" s="11"/>
      <c r="I212" s="11"/>
      <c r="J212" s="11"/>
      <c r="K212" s="11"/>
      <c r="L212" s="12"/>
      <c r="M212" s="11"/>
      <c r="N212" s="13"/>
      <c r="O212" s="11"/>
      <c r="P212" s="12"/>
      <c r="Q212" s="12"/>
      <c r="R212" s="12"/>
      <c r="S212" s="15"/>
    </row>
    <row r="213" ht="15" customHeight="1" s="4" customFormat="1">
      <c r="A213" s="15"/>
      <c r="B213" s="11"/>
      <c r="C213" s="11"/>
      <c r="D213" s="11"/>
      <c r="E213" s="11"/>
      <c r="F213" s="12"/>
      <c r="G213" s="11"/>
      <c r="H213" s="11"/>
      <c r="I213" s="11"/>
      <c r="J213" s="11"/>
      <c r="K213" s="11"/>
      <c r="L213" s="12"/>
      <c r="M213" s="11"/>
      <c r="N213" s="13"/>
      <c r="O213" s="11"/>
      <c r="P213" s="12"/>
      <c r="Q213" s="12"/>
      <c r="R213" s="12"/>
      <c r="S213" s="15"/>
    </row>
    <row r="214" ht="15" customHeight="1" s="4" customFormat="1">
      <c r="A214" s="15"/>
      <c r="B214" s="11"/>
      <c r="C214" s="11"/>
      <c r="D214" s="11"/>
      <c r="E214" s="11"/>
      <c r="F214" s="12"/>
      <c r="G214" s="11"/>
      <c r="H214" s="11"/>
      <c r="I214" s="11"/>
      <c r="J214" s="11"/>
      <c r="K214" s="11"/>
      <c r="L214" s="12"/>
      <c r="M214" s="11"/>
      <c r="N214" s="13"/>
      <c r="O214" s="11"/>
      <c r="P214" s="12"/>
      <c r="Q214" s="12"/>
      <c r="R214" s="12"/>
      <c r="S214" s="15"/>
    </row>
    <row r="215" ht="15" customHeight="1" s="4" customFormat="1">
      <c r="A215" s="15"/>
      <c r="B215" s="11"/>
      <c r="C215" s="11"/>
      <c r="D215" s="11"/>
      <c r="E215" s="11"/>
      <c r="F215" s="12"/>
      <c r="G215" s="11"/>
      <c r="H215" s="11"/>
      <c r="I215" s="11"/>
      <c r="J215" s="11"/>
      <c r="K215" s="11"/>
      <c r="L215" s="12"/>
      <c r="M215" s="11"/>
      <c r="N215" s="13"/>
      <c r="O215" s="11"/>
      <c r="P215" s="12"/>
      <c r="Q215" s="12"/>
      <c r="R215" s="12"/>
      <c r="S215" s="15"/>
    </row>
    <row r="216" ht="15" customHeight="1" s="4" customFormat="1">
      <c r="A216" s="15"/>
      <c r="B216" s="11"/>
      <c r="C216" s="11"/>
      <c r="D216" s="11"/>
      <c r="E216" s="11"/>
      <c r="F216" s="12"/>
      <c r="G216" s="11"/>
      <c r="H216" s="11"/>
      <c r="I216" s="11"/>
      <c r="J216" s="11"/>
      <c r="K216" s="11"/>
      <c r="L216" s="12"/>
      <c r="M216" s="11"/>
      <c r="N216" s="13"/>
      <c r="O216" s="11"/>
      <c r="P216" s="12"/>
      <c r="Q216" s="12"/>
      <c r="R216" s="12"/>
      <c r="S216" s="15"/>
    </row>
    <row r="217" ht="15" customHeight="1" s="4" customFormat="1">
      <c r="A217" s="15"/>
      <c r="B217" s="11"/>
      <c r="C217" s="11"/>
      <c r="D217" s="11"/>
      <c r="E217" s="11"/>
      <c r="F217" s="12"/>
      <c r="G217" s="11"/>
      <c r="H217" s="11"/>
      <c r="I217" s="11"/>
      <c r="J217" s="11"/>
      <c r="K217" s="11"/>
      <c r="L217" s="12"/>
      <c r="M217" s="11"/>
      <c r="N217" s="13"/>
      <c r="O217" s="11"/>
      <c r="P217" s="12"/>
      <c r="Q217" s="12"/>
      <c r="R217" s="12"/>
      <c r="S217" s="15"/>
    </row>
    <row r="218" ht="15" customHeight="1" s="4" customFormat="1">
      <c r="A218" s="15"/>
      <c r="B218" s="11"/>
      <c r="C218" s="11"/>
      <c r="D218" s="11"/>
      <c r="E218" s="11"/>
      <c r="F218" s="12"/>
      <c r="G218" s="11"/>
      <c r="H218" s="11"/>
      <c r="I218" s="11"/>
      <c r="J218" s="11"/>
      <c r="K218" s="11"/>
      <c r="L218" s="12"/>
      <c r="M218" s="11"/>
      <c r="N218" s="13"/>
      <c r="O218" s="11"/>
      <c r="P218" s="12"/>
      <c r="Q218" s="12"/>
      <c r="R218" s="12"/>
      <c r="S218" s="15"/>
    </row>
    <row r="219" ht="15" customHeight="1" s="4" customFormat="1">
      <c r="A219" s="15"/>
      <c r="B219" s="11"/>
      <c r="C219" s="11"/>
      <c r="D219" s="11"/>
      <c r="E219" s="11"/>
      <c r="F219" s="12"/>
      <c r="G219" s="11"/>
      <c r="H219" s="11"/>
      <c r="I219" s="11"/>
      <c r="J219" s="11"/>
      <c r="K219" s="11"/>
      <c r="L219" s="12"/>
      <c r="M219" s="11"/>
      <c r="N219" s="13"/>
      <c r="O219" s="11"/>
      <c r="P219" s="12"/>
      <c r="Q219" s="12"/>
      <c r="R219" s="12"/>
      <c r="S219" s="15"/>
    </row>
    <row r="220" ht="15" customHeight="1" s="4" customFormat="1">
      <c r="A220" s="15"/>
      <c r="B220" s="11"/>
      <c r="C220" s="11"/>
      <c r="D220" s="11"/>
      <c r="E220" s="11"/>
      <c r="F220" s="12"/>
      <c r="G220" s="11"/>
      <c r="H220" s="11"/>
      <c r="I220" s="11"/>
      <c r="J220" s="11"/>
      <c r="K220" s="11"/>
      <c r="L220" s="12"/>
      <c r="M220" s="11"/>
      <c r="N220" s="13"/>
      <c r="O220" s="11"/>
      <c r="P220" s="12"/>
      <c r="Q220" s="12"/>
      <c r="R220" s="12"/>
      <c r="S220" s="15"/>
    </row>
    <row r="221" ht="15" customHeight="1" s="4" customFormat="1">
      <c r="A221" s="15"/>
      <c r="B221" s="11"/>
      <c r="C221" s="11"/>
      <c r="D221" s="11"/>
      <c r="E221" s="11"/>
      <c r="F221" s="12"/>
      <c r="G221" s="11"/>
      <c r="H221" s="11"/>
      <c r="I221" s="11"/>
      <c r="J221" s="11"/>
      <c r="K221" s="11"/>
      <c r="L221" s="12"/>
      <c r="M221" s="11"/>
      <c r="N221" s="13"/>
      <c r="O221" s="11"/>
      <c r="P221" s="12"/>
      <c r="Q221" s="12"/>
      <c r="R221" s="12"/>
      <c r="S221" s="15"/>
    </row>
    <row r="222" ht="15" customHeight="1" s="4" customFormat="1">
      <c r="A222" s="15"/>
      <c r="B222" s="11"/>
      <c r="C222" s="11"/>
      <c r="D222" s="11"/>
      <c r="E222" s="11"/>
      <c r="F222" s="12"/>
      <c r="G222" s="11"/>
      <c r="H222" s="11"/>
      <c r="I222" s="11"/>
      <c r="J222" s="11"/>
      <c r="K222" s="11"/>
      <c r="L222" s="12"/>
      <c r="M222" s="11"/>
      <c r="N222" s="13"/>
      <c r="O222" s="11"/>
      <c r="P222" s="12"/>
      <c r="Q222" s="12"/>
      <c r="R222" s="12"/>
      <c r="S222" s="15"/>
    </row>
    <row r="223" ht="15" customHeight="1" s="4" customFormat="1">
      <c r="A223" s="15"/>
      <c r="B223" s="11"/>
      <c r="C223" s="11"/>
      <c r="D223" s="11"/>
      <c r="E223" s="11"/>
      <c r="F223" s="12"/>
      <c r="G223" s="11"/>
      <c r="H223" s="11"/>
      <c r="I223" s="11"/>
      <c r="J223" s="11"/>
      <c r="K223" s="11"/>
      <c r="L223" s="12"/>
      <c r="M223" s="11"/>
      <c r="N223" s="13"/>
      <c r="O223" s="11"/>
      <c r="P223" s="12"/>
      <c r="Q223" s="12"/>
      <c r="R223" s="12"/>
      <c r="S223" s="15"/>
    </row>
    <row r="224" ht="15" customHeight="1" s="4" customFormat="1">
      <c r="A224" s="15"/>
      <c r="B224" s="11"/>
      <c r="C224" s="11"/>
      <c r="D224" s="11"/>
      <c r="E224" s="11"/>
      <c r="F224" s="12"/>
      <c r="G224" s="11"/>
      <c r="H224" s="11"/>
      <c r="I224" s="11"/>
      <c r="J224" s="11"/>
      <c r="K224" s="11"/>
      <c r="L224" s="12"/>
      <c r="M224" s="11"/>
      <c r="N224" s="13"/>
      <c r="O224" s="11"/>
      <c r="P224" s="12"/>
      <c r="Q224" s="12"/>
      <c r="R224" s="12"/>
      <c r="S224" s="15"/>
    </row>
    <row r="225" ht="15" customHeight="1" s="4" customFormat="1">
      <c r="A225" s="15"/>
      <c r="B225" s="11"/>
      <c r="C225" s="11"/>
      <c r="D225" s="11"/>
      <c r="E225" s="11"/>
      <c r="F225" s="12"/>
      <c r="G225" s="11"/>
      <c r="H225" s="11"/>
      <c r="I225" s="11"/>
      <c r="J225" s="11"/>
      <c r="K225" s="11"/>
      <c r="L225" s="12"/>
      <c r="M225" s="11"/>
      <c r="N225" s="13"/>
      <c r="O225" s="11"/>
      <c r="P225" s="12"/>
      <c r="Q225" s="12"/>
      <c r="R225" s="12"/>
      <c r="S225" s="15"/>
    </row>
    <row r="226" ht="15" customHeight="1" s="4" customFormat="1">
      <c r="A226" s="15"/>
      <c r="B226" s="11"/>
      <c r="C226" s="11"/>
      <c r="D226" s="11"/>
      <c r="E226" s="11"/>
      <c r="F226" s="12"/>
      <c r="G226" s="11"/>
      <c r="H226" s="11"/>
      <c r="I226" s="11"/>
      <c r="J226" s="11"/>
      <c r="K226" s="11"/>
      <c r="L226" s="12"/>
      <c r="M226" s="11"/>
      <c r="N226" s="13"/>
      <c r="O226" s="11"/>
      <c r="P226" s="12"/>
      <c r="Q226" s="12"/>
      <c r="R226" s="12"/>
      <c r="S226" s="15"/>
    </row>
    <row r="227" ht="15" customHeight="1" s="4" customFormat="1">
      <c r="A227" s="15"/>
      <c r="B227" s="11"/>
      <c r="C227" s="11"/>
      <c r="D227" s="11"/>
      <c r="E227" s="11"/>
      <c r="F227" s="12"/>
      <c r="G227" s="11"/>
      <c r="H227" s="11"/>
      <c r="I227" s="11"/>
      <c r="J227" s="11"/>
      <c r="K227" s="11"/>
      <c r="L227" s="12"/>
      <c r="M227" s="11"/>
      <c r="N227" s="13"/>
      <c r="O227" s="11"/>
      <c r="P227" s="12"/>
      <c r="Q227" s="12"/>
      <c r="R227" s="12"/>
      <c r="S227" s="15"/>
    </row>
    <row r="228" ht="15" customHeight="1" s="4" customFormat="1">
      <c r="A228" s="15"/>
      <c r="B228" s="11"/>
      <c r="C228" s="11"/>
      <c r="D228" s="11"/>
      <c r="E228" s="11"/>
      <c r="F228" s="12"/>
      <c r="G228" s="11"/>
      <c r="H228" s="11"/>
      <c r="I228" s="11"/>
      <c r="J228" s="11"/>
      <c r="K228" s="11"/>
      <c r="L228" s="12"/>
      <c r="M228" s="11"/>
      <c r="N228" s="13"/>
      <c r="O228" s="11"/>
      <c r="P228" s="12"/>
      <c r="Q228" s="12"/>
      <c r="R228" s="12"/>
      <c r="S228" s="15"/>
    </row>
    <row r="229" ht="15" customHeight="1" s="4" customFormat="1">
      <c r="A229" s="15"/>
      <c r="B229" s="11"/>
      <c r="C229" s="11"/>
      <c r="D229" s="11"/>
      <c r="E229" s="11"/>
      <c r="F229" s="12"/>
      <c r="G229" s="11"/>
      <c r="H229" s="11"/>
      <c r="I229" s="11"/>
      <c r="J229" s="11"/>
      <c r="K229" s="11"/>
      <c r="L229" s="12"/>
      <c r="M229" s="11"/>
      <c r="N229" s="13"/>
      <c r="O229" s="11"/>
      <c r="P229" s="12"/>
      <c r="Q229" s="12"/>
      <c r="R229" s="12"/>
      <c r="S229" s="15"/>
    </row>
    <row r="230" ht="15" customHeight="1" s="4" customFormat="1">
      <c r="A230" s="15"/>
      <c r="B230" s="11"/>
      <c r="C230" s="11"/>
      <c r="D230" s="11"/>
      <c r="E230" s="11"/>
      <c r="F230" s="12"/>
      <c r="G230" s="11"/>
      <c r="H230" s="11"/>
      <c r="I230" s="11"/>
      <c r="J230" s="11"/>
      <c r="K230" s="11"/>
      <c r="L230" s="12"/>
      <c r="M230" s="11"/>
      <c r="N230" s="13"/>
      <c r="O230" s="11"/>
      <c r="P230" s="12"/>
      <c r="Q230" s="12"/>
      <c r="R230" s="12"/>
      <c r="S230" s="15"/>
    </row>
    <row r="231" ht="15" customHeight="1" s="4" customFormat="1">
      <c r="A231" s="15"/>
      <c r="B231" s="11"/>
      <c r="C231" s="11"/>
      <c r="D231" s="11"/>
      <c r="E231" s="11"/>
      <c r="F231" s="12"/>
      <c r="G231" s="11"/>
      <c r="H231" s="11"/>
      <c r="I231" s="11"/>
      <c r="J231" s="11"/>
      <c r="K231" s="11"/>
      <c r="L231" s="12"/>
      <c r="M231" s="11"/>
      <c r="N231" s="13"/>
      <c r="O231" s="11"/>
      <c r="P231" s="12"/>
      <c r="Q231" s="12"/>
      <c r="R231" s="12"/>
      <c r="S231" s="15"/>
    </row>
    <row r="232" ht="15" customHeight="1" s="4" customFormat="1">
      <c r="A232" s="15"/>
      <c r="B232" s="11"/>
      <c r="C232" s="11"/>
      <c r="D232" s="11"/>
      <c r="E232" s="11"/>
      <c r="F232" s="12"/>
      <c r="G232" s="11"/>
      <c r="H232" s="11"/>
      <c r="I232" s="11"/>
      <c r="J232" s="11"/>
      <c r="K232" s="11"/>
      <c r="L232" s="12"/>
      <c r="M232" s="11"/>
      <c r="N232" s="13"/>
      <c r="O232" s="11"/>
      <c r="P232" s="12"/>
      <c r="Q232" s="12"/>
      <c r="R232" s="12"/>
      <c r="S232" s="15"/>
    </row>
    <row r="233" ht="15" customHeight="1" s="4" customFormat="1">
      <c r="A233" s="15"/>
      <c r="B233" s="11"/>
      <c r="C233" s="11"/>
      <c r="D233" s="11"/>
      <c r="E233" s="11"/>
      <c r="F233" s="12"/>
      <c r="G233" s="11"/>
      <c r="H233" s="11"/>
      <c r="I233" s="11"/>
      <c r="J233" s="11"/>
      <c r="K233" s="11"/>
      <c r="L233" s="12"/>
      <c r="M233" s="11"/>
      <c r="N233" s="13"/>
      <c r="O233" s="11"/>
      <c r="P233" s="12"/>
      <c r="Q233" s="12"/>
      <c r="R233" s="12"/>
      <c r="S233" s="15"/>
    </row>
    <row r="234" ht="15" customHeight="1" s="4" customFormat="1">
      <c r="A234" s="15"/>
      <c r="B234" s="11"/>
      <c r="C234" s="11"/>
      <c r="D234" s="11"/>
      <c r="E234" s="11"/>
      <c r="F234" s="12"/>
      <c r="G234" s="11"/>
      <c r="H234" s="11"/>
      <c r="I234" s="11"/>
      <c r="J234" s="11"/>
      <c r="K234" s="11"/>
      <c r="L234" s="12"/>
      <c r="M234" s="11"/>
      <c r="N234" s="13"/>
      <c r="O234" s="11"/>
      <c r="P234" s="12"/>
      <c r="Q234" s="12"/>
      <c r="R234" s="12"/>
      <c r="S234" s="15"/>
    </row>
    <row r="235" ht="15" customHeight="1" s="4" customFormat="1">
      <c r="A235" s="15"/>
      <c r="B235" s="11"/>
      <c r="C235" s="11"/>
      <c r="D235" s="11"/>
      <c r="E235" s="11"/>
      <c r="F235" s="12"/>
      <c r="G235" s="11"/>
      <c r="H235" s="11"/>
      <c r="I235" s="11"/>
      <c r="J235" s="11"/>
      <c r="K235" s="11"/>
      <c r="L235" s="12"/>
      <c r="M235" s="11"/>
      <c r="N235" s="13"/>
      <c r="O235" s="11"/>
      <c r="P235" s="12"/>
      <c r="Q235" s="12"/>
      <c r="R235" s="12"/>
      <c r="S235" s="15"/>
    </row>
    <row r="236" ht="15" customHeight="1" s="4" customFormat="1">
      <c r="A236" s="15"/>
      <c r="B236" s="11"/>
      <c r="C236" s="11"/>
      <c r="D236" s="11"/>
      <c r="E236" s="11"/>
      <c r="F236" s="12"/>
      <c r="G236" s="11"/>
      <c r="H236" s="11"/>
      <c r="I236" s="11"/>
      <c r="J236" s="11"/>
      <c r="K236" s="11"/>
      <c r="L236" s="12"/>
      <c r="M236" s="11"/>
      <c r="N236" s="13"/>
      <c r="O236" s="11"/>
      <c r="P236" s="12"/>
      <c r="Q236" s="12"/>
      <c r="R236" s="12"/>
      <c r="S236" s="15"/>
    </row>
    <row r="237" ht="15" customHeight="1" s="4" customFormat="1">
      <c r="A237" s="15"/>
      <c r="B237" s="11"/>
      <c r="C237" s="11"/>
      <c r="D237" s="11"/>
      <c r="E237" s="11"/>
      <c r="F237" s="12"/>
      <c r="G237" s="11"/>
      <c r="H237" s="11"/>
      <c r="I237" s="11"/>
      <c r="J237" s="11"/>
      <c r="K237" s="11"/>
      <c r="L237" s="12"/>
      <c r="M237" s="11"/>
      <c r="N237" s="13"/>
      <c r="O237" s="11"/>
      <c r="P237" s="12"/>
      <c r="Q237" s="12"/>
      <c r="R237" s="12"/>
      <c r="S237" s="15"/>
    </row>
    <row r="238" ht="15" customHeight="1" s="4" customFormat="1">
      <c r="A238" s="15"/>
      <c r="B238" s="11"/>
      <c r="C238" s="11"/>
      <c r="D238" s="11"/>
      <c r="E238" s="11"/>
      <c r="F238" s="12"/>
      <c r="G238" s="11"/>
      <c r="H238" s="11"/>
      <c r="I238" s="11"/>
      <c r="J238" s="11"/>
      <c r="K238" s="11"/>
      <c r="L238" s="12"/>
      <c r="M238" s="11"/>
      <c r="N238" s="13"/>
      <c r="O238" s="11"/>
      <c r="P238" s="12"/>
      <c r="Q238" s="12"/>
      <c r="R238" s="12"/>
      <c r="S238" s="15"/>
    </row>
    <row r="239" ht="15" customHeight="1" s="4" customFormat="1">
      <c r="A239" s="15"/>
      <c r="B239" s="11"/>
      <c r="C239" s="11"/>
      <c r="D239" s="11"/>
      <c r="E239" s="11"/>
      <c r="F239" s="12"/>
      <c r="G239" s="11"/>
      <c r="H239" s="11"/>
      <c r="I239" s="11"/>
      <c r="J239" s="11"/>
      <c r="K239" s="11"/>
      <c r="L239" s="12"/>
      <c r="M239" s="11"/>
      <c r="N239" s="13"/>
      <c r="O239" s="11"/>
      <c r="P239" s="12"/>
      <c r="Q239" s="12"/>
      <c r="R239" s="12"/>
      <c r="S239" s="15"/>
    </row>
    <row r="240" ht="15" customHeight="1" s="4" customFormat="1">
      <c r="A240" s="15"/>
      <c r="B240" s="11"/>
      <c r="C240" s="11"/>
      <c r="D240" s="11"/>
      <c r="E240" s="11"/>
      <c r="F240" s="12"/>
      <c r="G240" s="11"/>
      <c r="H240" s="11"/>
      <c r="I240" s="11"/>
      <c r="J240" s="11"/>
      <c r="K240" s="11"/>
      <c r="L240" s="12"/>
      <c r="M240" s="11"/>
      <c r="N240" s="13"/>
      <c r="O240" s="11"/>
      <c r="P240" s="12"/>
      <c r="Q240" s="12"/>
      <c r="R240" s="12"/>
      <c r="S240" s="15"/>
    </row>
    <row r="241" ht="15" customHeight="1" s="4" customFormat="1">
      <c r="A241" s="15"/>
      <c r="B241" s="11"/>
      <c r="C241" s="11"/>
      <c r="D241" s="11"/>
      <c r="E241" s="11"/>
      <c r="F241" s="12"/>
      <c r="G241" s="11"/>
      <c r="H241" s="11"/>
      <c r="I241" s="11"/>
      <c r="J241" s="11"/>
      <c r="K241" s="11"/>
      <c r="L241" s="12"/>
      <c r="M241" s="11"/>
      <c r="N241" s="13"/>
      <c r="O241" s="11"/>
      <c r="P241" s="12"/>
      <c r="Q241" s="12"/>
      <c r="R241" s="12"/>
      <c r="S241" s="15"/>
    </row>
    <row r="242" ht="15" customHeight="1" s="4" customFormat="1">
      <c r="A242" s="15"/>
      <c r="B242" s="11"/>
      <c r="C242" s="11"/>
      <c r="D242" s="11"/>
      <c r="E242" s="11"/>
      <c r="F242" s="12"/>
      <c r="G242" s="11"/>
      <c r="H242" s="11"/>
      <c r="I242" s="11"/>
      <c r="J242" s="11"/>
      <c r="K242" s="11"/>
      <c r="L242" s="12"/>
      <c r="M242" s="11"/>
      <c r="N242" s="13"/>
      <c r="O242" s="11"/>
      <c r="P242" s="12"/>
      <c r="Q242" s="12"/>
      <c r="R242" s="12"/>
      <c r="S242" s="15"/>
    </row>
    <row r="243" ht="15" customHeight="1" s="4" customFormat="1">
      <c r="A243" s="15"/>
      <c r="B243" s="11"/>
      <c r="C243" s="11"/>
      <c r="D243" s="11"/>
      <c r="E243" s="11"/>
      <c r="F243" s="12"/>
      <c r="G243" s="11"/>
      <c r="H243" s="11"/>
      <c r="I243" s="11"/>
      <c r="J243" s="11"/>
      <c r="K243" s="11"/>
      <c r="L243" s="12"/>
      <c r="M243" s="11"/>
      <c r="N243" s="13"/>
      <c r="O243" s="11"/>
      <c r="P243" s="12"/>
      <c r="Q243" s="12"/>
      <c r="R243" s="12"/>
      <c r="S243" s="15"/>
    </row>
    <row r="244" ht="15" customHeight="1" s="4" customFormat="1">
      <c r="A244" s="15"/>
      <c r="B244" s="11"/>
      <c r="C244" s="11"/>
      <c r="D244" s="11"/>
      <c r="E244" s="11"/>
      <c r="F244" s="12"/>
      <c r="G244" s="11"/>
      <c r="H244" s="11"/>
      <c r="I244" s="11"/>
      <c r="J244" s="11"/>
      <c r="K244" s="11"/>
      <c r="L244" s="12"/>
      <c r="M244" s="11"/>
      <c r="N244" s="13"/>
      <c r="O244" s="11"/>
      <c r="P244" s="12"/>
      <c r="Q244" s="12"/>
      <c r="R244" s="12"/>
      <c r="S244" s="15"/>
    </row>
    <row r="245" ht="15" customHeight="1" s="4" customFormat="1">
      <c r="A245" s="15"/>
      <c r="B245" s="11"/>
      <c r="C245" s="11"/>
      <c r="D245" s="11"/>
      <c r="E245" s="11"/>
      <c r="F245" s="12"/>
      <c r="G245" s="11"/>
      <c r="H245" s="11"/>
      <c r="I245" s="11"/>
      <c r="J245" s="11"/>
      <c r="K245" s="11"/>
      <c r="L245" s="12"/>
      <c r="M245" s="11"/>
      <c r="N245" s="13"/>
      <c r="O245" s="11"/>
      <c r="P245" s="12"/>
      <c r="Q245" s="12"/>
      <c r="R245" s="12"/>
      <c r="S245" s="15"/>
    </row>
    <row r="246" ht="15" customHeight="1" s="4" customFormat="1">
      <c r="A246" s="15"/>
      <c r="B246" s="11"/>
      <c r="C246" s="11"/>
      <c r="D246" s="11"/>
      <c r="E246" s="11"/>
      <c r="F246" s="12"/>
      <c r="G246" s="11"/>
      <c r="H246" s="11"/>
      <c r="I246" s="11"/>
      <c r="J246" s="11"/>
      <c r="K246" s="11"/>
      <c r="L246" s="12"/>
      <c r="M246" s="11"/>
      <c r="N246" s="13"/>
      <c r="O246" s="11"/>
      <c r="P246" s="12"/>
      <c r="Q246" s="12"/>
      <c r="R246" s="12"/>
      <c r="S246" s="15"/>
    </row>
    <row r="247" ht="15" customHeight="1" s="4" customFormat="1">
      <c r="A247" s="15"/>
      <c r="B247" s="11"/>
      <c r="C247" s="11"/>
      <c r="D247" s="11"/>
      <c r="E247" s="11"/>
      <c r="F247" s="12"/>
      <c r="G247" s="11"/>
      <c r="H247" s="11"/>
      <c r="I247" s="11"/>
      <c r="J247" s="11"/>
      <c r="K247" s="11"/>
      <c r="L247" s="12"/>
      <c r="M247" s="11"/>
      <c r="N247" s="13"/>
      <c r="O247" s="11"/>
      <c r="P247" s="12"/>
      <c r="Q247" s="12"/>
      <c r="R247" s="12"/>
      <c r="S247" s="15"/>
    </row>
    <row r="248" ht="15" customHeight="1" s="4" customFormat="1">
      <c r="A248" s="15"/>
      <c r="B248" s="11"/>
      <c r="C248" s="11"/>
      <c r="D248" s="11"/>
      <c r="E248" s="11"/>
      <c r="F248" s="12"/>
      <c r="G248" s="11"/>
      <c r="H248" s="11"/>
      <c r="I248" s="11"/>
      <c r="J248" s="11"/>
      <c r="K248" s="11"/>
      <c r="L248" s="12"/>
      <c r="M248" s="11"/>
      <c r="N248" s="13"/>
      <c r="O248" s="11"/>
      <c r="P248" s="12"/>
      <c r="Q248" s="12"/>
      <c r="R248" s="12"/>
      <c r="S248" s="15"/>
    </row>
    <row r="249" ht="15" customHeight="1" s="4" customFormat="1">
      <c r="A249" s="15"/>
      <c r="B249" s="11"/>
      <c r="C249" s="11"/>
      <c r="D249" s="11"/>
      <c r="E249" s="11"/>
      <c r="F249" s="12"/>
      <c r="G249" s="11"/>
      <c r="H249" s="11"/>
      <c r="I249" s="11"/>
      <c r="J249" s="11"/>
      <c r="K249" s="11"/>
      <c r="L249" s="12"/>
      <c r="M249" s="11"/>
      <c r="N249" s="13"/>
      <c r="O249" s="11"/>
      <c r="P249" s="12"/>
      <c r="Q249" s="12"/>
      <c r="R249" s="12"/>
      <c r="S249" s="15"/>
    </row>
    <row r="250" ht="15" customHeight="1" s="4" customFormat="1">
      <c r="A250" s="15"/>
      <c r="B250" s="11"/>
      <c r="C250" s="11"/>
      <c r="D250" s="11"/>
      <c r="E250" s="11"/>
      <c r="F250" s="12"/>
      <c r="G250" s="11"/>
      <c r="H250" s="11"/>
      <c r="I250" s="11"/>
      <c r="J250" s="11"/>
      <c r="K250" s="11"/>
      <c r="L250" s="12"/>
      <c r="M250" s="11"/>
      <c r="N250" s="13"/>
      <c r="O250" s="11"/>
      <c r="P250" s="12"/>
      <c r="Q250" s="12"/>
      <c r="R250" s="12"/>
      <c r="S250" s="15"/>
    </row>
    <row r="251" ht="15" customHeight="1" s="4" customFormat="1">
      <c r="A251" s="15"/>
      <c r="B251" s="11"/>
      <c r="C251" s="11"/>
      <c r="D251" s="11"/>
      <c r="E251" s="11"/>
      <c r="F251" s="12"/>
      <c r="G251" s="11"/>
      <c r="H251" s="11"/>
      <c r="I251" s="11"/>
      <c r="J251" s="11"/>
      <c r="K251" s="11"/>
      <c r="L251" s="12"/>
      <c r="M251" s="11"/>
      <c r="N251" s="13"/>
      <c r="O251" s="11"/>
      <c r="P251" s="12"/>
      <c r="Q251" s="12"/>
      <c r="R251" s="12"/>
      <c r="S251" s="15"/>
    </row>
    <row r="252" ht="15" customHeight="1" s="4" customFormat="1">
      <c r="A252" s="15"/>
      <c r="B252" s="11"/>
      <c r="C252" s="11"/>
      <c r="D252" s="11"/>
      <c r="E252" s="11"/>
      <c r="F252" s="12"/>
      <c r="G252" s="11"/>
      <c r="H252" s="11"/>
      <c r="I252" s="11"/>
      <c r="J252" s="11"/>
      <c r="K252" s="11"/>
      <c r="L252" s="12"/>
      <c r="M252" s="11"/>
      <c r="N252" s="13"/>
      <c r="O252" s="11"/>
      <c r="P252" s="12"/>
      <c r="Q252" s="12"/>
      <c r="R252" s="12"/>
      <c r="S252" s="15"/>
    </row>
    <row r="253" ht="15" customHeight="1" s="4" customFormat="1">
      <c r="A253" s="15"/>
      <c r="B253" s="11"/>
      <c r="C253" s="11"/>
      <c r="D253" s="11"/>
      <c r="E253" s="11"/>
      <c r="F253" s="12"/>
      <c r="G253" s="11"/>
      <c r="H253" s="11"/>
      <c r="I253" s="11"/>
      <c r="J253" s="11"/>
      <c r="K253" s="11"/>
      <c r="L253" s="12"/>
      <c r="M253" s="11"/>
      <c r="N253" s="13"/>
      <c r="O253" s="11"/>
      <c r="P253" s="12"/>
      <c r="Q253" s="12"/>
      <c r="R253" s="12"/>
      <c r="S253" s="15"/>
    </row>
    <row r="254" ht="15" customHeight="1" s="4" customFormat="1">
      <c r="A254" s="15"/>
      <c r="B254" s="11"/>
      <c r="C254" s="11"/>
      <c r="D254" s="11"/>
      <c r="E254" s="11"/>
      <c r="F254" s="12"/>
      <c r="G254" s="11"/>
      <c r="H254" s="11"/>
      <c r="I254" s="11"/>
      <c r="J254" s="11"/>
      <c r="K254" s="11"/>
      <c r="L254" s="12"/>
      <c r="M254" s="11"/>
      <c r="N254" s="13"/>
      <c r="O254" s="11"/>
      <c r="P254" s="12"/>
      <c r="Q254" s="12"/>
      <c r="R254" s="12"/>
      <c r="S254" s="15"/>
    </row>
    <row r="255" ht="15" customHeight="1" s="4" customFormat="1">
      <c r="A255" s="15"/>
      <c r="B255" s="11"/>
      <c r="C255" s="11"/>
      <c r="D255" s="11"/>
      <c r="E255" s="11"/>
      <c r="F255" s="12"/>
      <c r="G255" s="11"/>
      <c r="H255" s="11"/>
      <c r="I255" s="11"/>
      <c r="J255" s="11"/>
      <c r="K255" s="11"/>
      <c r="L255" s="12"/>
      <c r="M255" s="11"/>
      <c r="N255" s="13"/>
      <c r="O255" s="11"/>
      <c r="P255" s="12"/>
      <c r="Q255" s="12"/>
      <c r="R255" s="12"/>
      <c r="S255" s="15"/>
    </row>
    <row r="256" ht="15" customHeight="1" s="4" customFormat="1">
      <c r="A256" s="15"/>
      <c r="B256" s="11"/>
      <c r="C256" s="11"/>
      <c r="D256" s="11"/>
      <c r="E256" s="11"/>
      <c r="F256" s="12"/>
      <c r="G256" s="11"/>
      <c r="H256" s="11"/>
      <c r="I256" s="11"/>
      <c r="J256" s="11"/>
      <c r="K256" s="11"/>
      <c r="L256" s="12"/>
      <c r="M256" s="11"/>
      <c r="N256" s="13"/>
      <c r="O256" s="11"/>
      <c r="P256" s="12"/>
      <c r="Q256" s="12"/>
      <c r="R256" s="12"/>
      <c r="S256" s="15"/>
    </row>
    <row r="257" ht="15" customHeight="1" s="4" customFormat="1">
      <c r="A257" s="15"/>
      <c r="B257" s="11"/>
      <c r="C257" s="11"/>
      <c r="D257" s="11"/>
      <c r="E257" s="11"/>
      <c r="F257" s="12"/>
      <c r="G257" s="11"/>
      <c r="H257" s="11"/>
      <c r="I257" s="11"/>
      <c r="J257" s="11"/>
      <c r="K257" s="11"/>
      <c r="L257" s="12"/>
      <c r="M257" s="11"/>
      <c r="N257" s="13"/>
      <c r="O257" s="11"/>
      <c r="P257" s="12"/>
      <c r="Q257" s="12"/>
      <c r="R257" s="12"/>
      <c r="S257" s="15"/>
    </row>
    <row r="258" ht="15" customHeight="1" s="4" customFormat="1">
      <c r="A258" s="15"/>
      <c r="B258" s="11"/>
      <c r="C258" s="11"/>
      <c r="D258" s="11"/>
      <c r="E258" s="11"/>
      <c r="F258" s="12"/>
      <c r="G258" s="11"/>
      <c r="H258" s="11"/>
      <c r="I258" s="11"/>
      <c r="J258" s="11"/>
      <c r="K258" s="11"/>
      <c r="L258" s="12"/>
      <c r="M258" s="11"/>
      <c r="N258" s="13"/>
      <c r="O258" s="11"/>
      <c r="P258" s="12"/>
      <c r="Q258" s="12"/>
      <c r="R258" s="12"/>
      <c r="S258" s="15"/>
    </row>
    <row r="259" ht="15" customHeight="1" s="4" customFormat="1">
      <c r="A259" s="15"/>
      <c r="B259" s="11"/>
      <c r="C259" s="11"/>
      <c r="D259" s="11"/>
      <c r="E259" s="11"/>
      <c r="F259" s="12"/>
      <c r="G259" s="11"/>
      <c r="H259" s="11"/>
      <c r="I259" s="11"/>
      <c r="J259" s="11"/>
      <c r="K259" s="11"/>
      <c r="L259" s="12"/>
      <c r="M259" s="11"/>
      <c r="N259" s="13"/>
      <c r="O259" s="11"/>
      <c r="P259" s="12"/>
      <c r="Q259" s="12"/>
      <c r="R259" s="12"/>
      <c r="S259" s="15"/>
    </row>
    <row r="260" ht="15" customHeight="1" s="4" customFormat="1">
      <c r="A260" s="15"/>
      <c r="B260" s="11"/>
      <c r="C260" s="11"/>
      <c r="D260" s="11"/>
      <c r="E260" s="11"/>
      <c r="F260" s="12"/>
      <c r="G260" s="11"/>
      <c r="H260" s="11"/>
      <c r="I260" s="11"/>
      <c r="J260" s="11"/>
      <c r="K260" s="11"/>
      <c r="L260" s="12"/>
      <c r="M260" s="11"/>
      <c r="N260" s="13"/>
      <c r="O260" s="11"/>
      <c r="P260" s="12"/>
      <c r="Q260" s="12"/>
      <c r="R260" s="12"/>
      <c r="S260" s="15"/>
    </row>
    <row r="261" ht="15" customHeight="1" s="4" customFormat="1">
      <c r="A261" s="15"/>
      <c r="B261" s="11"/>
      <c r="C261" s="11"/>
      <c r="D261" s="11"/>
      <c r="E261" s="11"/>
      <c r="F261" s="12"/>
      <c r="G261" s="11"/>
      <c r="H261" s="11"/>
      <c r="I261" s="11"/>
      <c r="J261" s="11"/>
      <c r="K261" s="11"/>
      <c r="L261" s="12"/>
      <c r="M261" s="11"/>
      <c r="N261" s="13"/>
      <c r="O261" s="11"/>
      <c r="P261" s="12"/>
      <c r="Q261" s="12"/>
      <c r="R261" s="12"/>
      <c r="S261" s="15"/>
    </row>
    <row r="262" ht="15" customHeight="1" s="4" customFormat="1">
      <c r="A262" s="15"/>
      <c r="B262" s="11"/>
      <c r="C262" s="11"/>
      <c r="D262" s="11"/>
      <c r="E262" s="11"/>
      <c r="F262" s="12"/>
      <c r="G262" s="11"/>
      <c r="H262" s="11"/>
      <c r="I262" s="11"/>
      <c r="J262" s="11"/>
      <c r="K262" s="11"/>
      <c r="L262" s="12"/>
      <c r="M262" s="11"/>
      <c r="N262" s="13"/>
      <c r="O262" s="11"/>
      <c r="P262" s="12"/>
      <c r="Q262" s="12"/>
      <c r="R262" s="12"/>
      <c r="S262" s="15"/>
    </row>
    <row r="263" ht="15" customHeight="1" s="4" customFormat="1">
      <c r="A263" s="15"/>
      <c r="B263" s="11"/>
      <c r="C263" s="11"/>
      <c r="D263" s="11"/>
      <c r="E263" s="11"/>
      <c r="F263" s="12"/>
      <c r="G263" s="11"/>
      <c r="H263" s="11"/>
      <c r="I263" s="11"/>
      <c r="J263" s="11"/>
      <c r="K263" s="11"/>
      <c r="L263" s="12"/>
      <c r="M263" s="11"/>
      <c r="N263" s="13"/>
      <c r="O263" s="11"/>
      <c r="P263" s="12"/>
      <c r="Q263" s="12"/>
      <c r="R263" s="12"/>
      <c r="S263" s="15"/>
    </row>
    <row r="264" ht="15" customHeight="1" s="4" customFormat="1">
      <c r="A264" s="15"/>
      <c r="B264" s="11"/>
      <c r="C264" s="11"/>
      <c r="D264" s="11"/>
      <c r="E264" s="11"/>
      <c r="F264" s="12"/>
      <c r="G264" s="11"/>
      <c r="H264" s="11"/>
      <c r="I264" s="11"/>
      <c r="J264" s="11"/>
      <c r="K264" s="11"/>
      <c r="L264" s="12"/>
      <c r="M264" s="11"/>
      <c r="N264" s="13"/>
      <c r="O264" s="11"/>
      <c r="P264" s="12"/>
      <c r="Q264" s="12"/>
      <c r="R264" s="12"/>
      <c r="S264" s="15"/>
    </row>
    <row r="265" ht="15" customHeight="1" s="4" customFormat="1">
      <c r="A265" s="15"/>
      <c r="B265" s="11"/>
      <c r="C265" s="11"/>
      <c r="D265" s="11"/>
      <c r="E265" s="11"/>
      <c r="F265" s="12"/>
      <c r="G265" s="11"/>
      <c r="H265" s="11"/>
      <c r="I265" s="11"/>
      <c r="J265" s="11"/>
      <c r="K265" s="11"/>
      <c r="L265" s="12"/>
      <c r="M265" s="11"/>
      <c r="N265" s="13"/>
      <c r="O265" s="11"/>
      <c r="P265" s="12"/>
      <c r="Q265" s="12"/>
      <c r="R265" s="12"/>
      <c r="S265" s="15"/>
    </row>
    <row r="266" ht="15" customHeight="1" s="4" customFormat="1">
      <c r="A266" s="15"/>
      <c r="B266" s="11"/>
      <c r="C266" s="11"/>
      <c r="D266" s="11"/>
      <c r="E266" s="11"/>
      <c r="F266" s="12"/>
      <c r="G266" s="11"/>
      <c r="H266" s="11"/>
      <c r="I266" s="11"/>
      <c r="J266" s="11"/>
      <c r="K266" s="11"/>
      <c r="L266" s="12"/>
      <c r="M266" s="11"/>
      <c r="N266" s="13"/>
      <c r="O266" s="11"/>
      <c r="P266" s="12"/>
      <c r="Q266" s="12"/>
      <c r="R266" s="12"/>
      <c r="S266" s="15"/>
    </row>
    <row r="267" ht="15" customHeight="1" s="4" customFormat="1">
      <c r="A267" s="15"/>
      <c r="B267" s="11"/>
      <c r="C267" s="11"/>
      <c r="D267" s="11"/>
      <c r="E267" s="11"/>
      <c r="F267" s="12"/>
      <c r="G267" s="11"/>
      <c r="H267" s="11"/>
      <c r="I267" s="11"/>
      <c r="J267" s="11"/>
      <c r="K267" s="11"/>
      <c r="L267" s="12"/>
      <c r="M267" s="11"/>
      <c r="N267" s="13"/>
      <c r="O267" s="11"/>
      <c r="P267" s="12"/>
      <c r="Q267" s="12"/>
      <c r="R267" s="12"/>
      <c r="S267" s="15"/>
    </row>
    <row r="268" ht="15" customHeight="1" s="4" customFormat="1">
      <c r="A268" s="15"/>
      <c r="B268" s="11"/>
      <c r="C268" s="11"/>
      <c r="D268" s="11"/>
      <c r="E268" s="11"/>
      <c r="F268" s="12"/>
      <c r="G268" s="11"/>
      <c r="H268" s="11"/>
      <c r="I268" s="11"/>
      <c r="J268" s="11"/>
      <c r="K268" s="11"/>
      <c r="L268" s="12"/>
      <c r="M268" s="11"/>
      <c r="N268" s="13"/>
      <c r="O268" s="11"/>
      <c r="P268" s="12"/>
      <c r="Q268" s="12"/>
      <c r="R268" s="12"/>
      <c r="S268" s="15"/>
    </row>
    <row r="269" ht="15" customHeight="1" s="4" customFormat="1">
      <c r="A269" s="15"/>
      <c r="B269" s="11"/>
      <c r="C269" s="11"/>
      <c r="D269" s="11"/>
      <c r="E269" s="11"/>
      <c r="F269" s="12"/>
      <c r="G269" s="11"/>
      <c r="H269" s="11"/>
      <c r="I269" s="11"/>
      <c r="J269" s="11"/>
      <c r="K269" s="11"/>
      <c r="L269" s="12"/>
      <c r="M269" s="11"/>
      <c r="N269" s="13"/>
      <c r="O269" s="11"/>
      <c r="P269" s="12"/>
      <c r="Q269" s="12"/>
      <c r="R269" s="12"/>
      <c r="S269" s="15"/>
    </row>
    <row r="270" ht="15" customHeight="1" s="4" customFormat="1">
      <c r="A270" s="15"/>
      <c r="B270" s="11"/>
      <c r="C270" s="11"/>
      <c r="D270" s="11"/>
      <c r="E270" s="11"/>
      <c r="F270" s="12"/>
      <c r="G270" s="11"/>
      <c r="H270" s="11"/>
      <c r="I270" s="11"/>
      <c r="J270" s="11"/>
      <c r="K270" s="11"/>
      <c r="L270" s="12"/>
      <c r="M270" s="11"/>
      <c r="N270" s="13"/>
      <c r="O270" s="11"/>
      <c r="P270" s="12"/>
      <c r="Q270" s="12"/>
      <c r="R270" s="12"/>
      <c r="S270" s="15"/>
    </row>
    <row r="271" ht="15" customHeight="1" s="4" customFormat="1">
      <c r="A271" s="15"/>
      <c r="B271" s="11"/>
      <c r="C271" s="11"/>
      <c r="D271" s="11"/>
      <c r="E271" s="11"/>
      <c r="F271" s="12"/>
      <c r="G271" s="11"/>
      <c r="H271" s="11"/>
      <c r="I271" s="11"/>
      <c r="J271" s="11"/>
      <c r="K271" s="11"/>
      <c r="L271" s="12"/>
      <c r="M271" s="11"/>
      <c r="N271" s="13"/>
      <c r="O271" s="11"/>
      <c r="P271" s="12"/>
      <c r="Q271" s="12"/>
      <c r="R271" s="12"/>
      <c r="S271" s="15"/>
    </row>
    <row r="272" ht="15" customHeight="1" s="4" customFormat="1">
      <c r="A272" s="15"/>
      <c r="B272" s="11"/>
      <c r="C272" s="11"/>
      <c r="D272" s="11"/>
      <c r="E272" s="11"/>
      <c r="F272" s="12"/>
      <c r="G272" s="11"/>
      <c r="H272" s="11"/>
      <c r="I272" s="11"/>
      <c r="J272" s="11"/>
      <c r="K272" s="11"/>
      <c r="L272" s="12"/>
      <c r="M272" s="11"/>
      <c r="N272" s="13"/>
      <c r="O272" s="11"/>
      <c r="P272" s="12"/>
      <c r="Q272" s="12"/>
      <c r="R272" s="12"/>
      <c r="S272" s="15"/>
    </row>
    <row r="273" ht="15" customHeight="1" s="4" customFormat="1">
      <c r="A273" s="15"/>
      <c r="B273" s="11"/>
      <c r="C273" s="11"/>
      <c r="D273" s="11"/>
      <c r="E273" s="11"/>
      <c r="F273" s="12"/>
      <c r="G273" s="11"/>
      <c r="H273" s="11"/>
      <c r="I273" s="11"/>
      <c r="J273" s="11"/>
      <c r="K273" s="11"/>
      <c r="L273" s="12"/>
      <c r="M273" s="11"/>
      <c r="N273" s="13"/>
      <c r="O273" s="11"/>
      <c r="P273" s="12"/>
      <c r="Q273" s="12"/>
      <c r="R273" s="12"/>
      <c r="S273" s="15"/>
    </row>
    <row r="274" ht="15" customHeight="1" s="4" customFormat="1">
      <c r="A274" s="15"/>
      <c r="B274" s="11"/>
      <c r="C274" s="11"/>
      <c r="D274" s="11"/>
      <c r="E274" s="11"/>
      <c r="F274" s="12"/>
      <c r="G274" s="11"/>
      <c r="H274" s="11"/>
      <c r="I274" s="11"/>
      <c r="J274" s="11"/>
      <c r="K274" s="11"/>
      <c r="L274" s="12"/>
      <c r="M274" s="11"/>
      <c r="N274" s="13"/>
      <c r="O274" s="11"/>
      <c r="P274" s="12"/>
      <c r="Q274" s="12"/>
      <c r="R274" s="12"/>
      <c r="S274" s="15"/>
    </row>
    <row r="275" ht="15" customHeight="1" s="4" customFormat="1">
      <c r="A275" s="15"/>
      <c r="B275" s="11"/>
      <c r="C275" s="11"/>
      <c r="D275" s="11"/>
      <c r="E275" s="11"/>
      <c r="F275" s="12"/>
      <c r="G275" s="11"/>
      <c r="H275" s="11"/>
      <c r="I275" s="11"/>
      <c r="J275" s="11"/>
      <c r="K275" s="11"/>
      <c r="L275" s="12"/>
      <c r="M275" s="11"/>
      <c r="N275" s="13"/>
      <c r="O275" s="11"/>
      <c r="P275" s="12"/>
      <c r="Q275" s="12"/>
      <c r="R275" s="12"/>
      <c r="S275" s="15"/>
    </row>
    <row r="276" ht="15" customHeight="1" s="4" customFormat="1">
      <c r="A276" s="15"/>
      <c r="B276" s="11"/>
      <c r="C276" s="11"/>
      <c r="D276" s="11"/>
      <c r="E276" s="11"/>
      <c r="F276" s="12"/>
      <c r="G276" s="11"/>
      <c r="H276" s="11"/>
      <c r="I276" s="11"/>
      <c r="J276" s="11"/>
      <c r="K276" s="11"/>
      <c r="L276" s="12"/>
      <c r="M276" s="11"/>
      <c r="N276" s="13"/>
      <c r="O276" s="11"/>
      <c r="P276" s="12"/>
      <c r="Q276" s="12"/>
      <c r="R276" s="12"/>
      <c r="S276" s="15"/>
    </row>
    <row r="277" ht="15" customHeight="1" s="4" customFormat="1">
      <c r="A277" s="15"/>
      <c r="B277" s="11"/>
      <c r="C277" s="11"/>
      <c r="D277" s="11"/>
      <c r="E277" s="11"/>
      <c r="F277" s="12"/>
      <c r="G277" s="11"/>
      <c r="H277" s="11"/>
      <c r="I277" s="11"/>
      <c r="J277" s="11"/>
      <c r="K277" s="11"/>
      <c r="L277" s="12"/>
      <c r="M277" s="11"/>
      <c r="N277" s="13"/>
      <c r="O277" s="11"/>
      <c r="P277" s="12"/>
      <c r="Q277" s="12"/>
      <c r="R277" s="12"/>
      <c r="S277" s="15"/>
    </row>
    <row r="278" ht="15" customHeight="1" s="4" customFormat="1">
      <c r="A278" s="15"/>
      <c r="B278" s="11"/>
      <c r="C278" s="11"/>
      <c r="D278" s="11"/>
      <c r="E278" s="11"/>
      <c r="F278" s="12"/>
      <c r="G278" s="11"/>
      <c r="H278" s="11"/>
      <c r="I278" s="11"/>
      <c r="J278" s="11"/>
      <c r="K278" s="11"/>
      <c r="L278" s="12"/>
      <c r="M278" s="11"/>
      <c r="N278" s="13"/>
      <c r="O278" s="11"/>
      <c r="P278" s="12"/>
      <c r="Q278" s="12"/>
      <c r="R278" s="12"/>
      <c r="S278" s="15"/>
    </row>
    <row r="279" ht="15" customHeight="1" s="4" customFormat="1">
      <c r="A279" s="15"/>
      <c r="B279" s="11"/>
      <c r="C279" s="11"/>
      <c r="D279" s="11"/>
      <c r="E279" s="11"/>
      <c r="F279" s="12"/>
      <c r="G279" s="11"/>
      <c r="H279" s="11"/>
      <c r="I279" s="11"/>
      <c r="J279" s="11"/>
      <c r="K279" s="11"/>
      <c r="L279" s="12"/>
      <c r="M279" s="11"/>
      <c r="N279" s="13"/>
      <c r="O279" s="11"/>
      <c r="P279" s="12"/>
      <c r="Q279" s="12"/>
      <c r="R279" s="12"/>
      <c r="S279" s="15"/>
    </row>
    <row r="280" ht="15" customHeight="1" s="4" customFormat="1">
      <c r="A280" s="15"/>
      <c r="B280" s="11"/>
      <c r="C280" s="11"/>
      <c r="D280" s="11"/>
      <c r="E280" s="11"/>
      <c r="F280" s="12"/>
      <c r="G280" s="11"/>
      <c r="H280" s="11"/>
      <c r="I280" s="11"/>
      <c r="J280" s="11"/>
      <c r="K280" s="11"/>
      <c r="L280" s="12"/>
      <c r="M280" s="11"/>
      <c r="N280" s="13"/>
      <c r="O280" s="11"/>
      <c r="P280" s="12"/>
      <c r="Q280" s="12"/>
      <c r="R280" s="12"/>
      <c r="S280" s="15"/>
    </row>
    <row r="281" ht="15" customHeight="1" s="4" customFormat="1">
      <c r="A281" s="15"/>
      <c r="B281" s="11"/>
      <c r="C281" s="11"/>
      <c r="D281" s="11"/>
      <c r="E281" s="11"/>
      <c r="F281" s="12"/>
      <c r="G281" s="11"/>
      <c r="H281" s="11"/>
      <c r="I281" s="11"/>
      <c r="J281" s="11"/>
      <c r="K281" s="11"/>
      <c r="L281" s="12"/>
      <c r="M281" s="11"/>
      <c r="N281" s="13"/>
      <c r="O281" s="11"/>
      <c r="P281" s="12"/>
      <c r="Q281" s="12"/>
      <c r="R281" s="12"/>
      <c r="S281" s="15"/>
    </row>
    <row r="282" ht="15" customHeight="1" s="4" customFormat="1">
      <c r="A282" s="15"/>
      <c r="B282" s="11"/>
      <c r="C282" s="11"/>
      <c r="D282" s="11"/>
      <c r="E282" s="11"/>
      <c r="F282" s="12"/>
      <c r="G282" s="11"/>
      <c r="H282" s="11"/>
      <c r="I282" s="11"/>
      <c r="J282" s="11"/>
      <c r="K282" s="11"/>
      <c r="L282" s="12"/>
      <c r="M282" s="11"/>
      <c r="N282" s="13"/>
      <c r="O282" s="11"/>
      <c r="P282" s="12"/>
      <c r="Q282" s="12"/>
      <c r="R282" s="12"/>
      <c r="S282" s="15"/>
    </row>
    <row r="283" ht="15" customHeight="1" s="4" customFormat="1">
      <c r="A283" s="15"/>
      <c r="B283" s="11"/>
      <c r="C283" s="11"/>
      <c r="D283" s="11"/>
      <c r="E283" s="11"/>
      <c r="F283" s="12"/>
      <c r="G283" s="11"/>
      <c r="H283" s="11"/>
      <c r="I283" s="11"/>
      <c r="J283" s="11"/>
      <c r="K283" s="11"/>
      <c r="L283" s="12"/>
      <c r="M283" s="11"/>
      <c r="N283" s="13"/>
      <c r="O283" s="11"/>
      <c r="P283" s="12"/>
      <c r="Q283" s="12"/>
      <c r="R283" s="12"/>
      <c r="S283" s="15"/>
    </row>
    <row r="284" ht="15" customHeight="1" s="4" customFormat="1">
      <c r="A284" s="15"/>
      <c r="B284" s="11"/>
      <c r="C284" s="11"/>
      <c r="D284" s="11"/>
      <c r="E284" s="11"/>
      <c r="F284" s="12"/>
      <c r="G284" s="11"/>
      <c r="H284" s="11"/>
      <c r="I284" s="11"/>
      <c r="J284" s="11"/>
      <c r="K284" s="11"/>
      <c r="L284" s="12"/>
      <c r="M284" s="11"/>
      <c r="N284" s="13"/>
      <c r="O284" s="11"/>
      <c r="P284" s="12"/>
      <c r="Q284" s="12"/>
      <c r="R284" s="12"/>
      <c r="S284" s="15"/>
    </row>
    <row r="285" ht="15" customHeight="1" s="4" customFormat="1">
      <c r="A285" s="15"/>
      <c r="B285" s="11"/>
      <c r="C285" s="11"/>
      <c r="D285" s="11"/>
      <c r="E285" s="11"/>
      <c r="F285" s="12"/>
      <c r="G285" s="11"/>
      <c r="H285" s="11"/>
      <c r="I285" s="11"/>
      <c r="J285" s="11"/>
      <c r="K285" s="11"/>
      <c r="L285" s="12"/>
      <c r="M285" s="11"/>
      <c r="N285" s="13"/>
      <c r="O285" s="11"/>
      <c r="P285" s="12"/>
      <c r="Q285" s="12"/>
      <c r="R285" s="12"/>
      <c r="S285" s="15"/>
    </row>
    <row r="286" ht="15" customHeight="1" s="4" customFormat="1">
      <c r="A286" s="15"/>
      <c r="B286" s="11"/>
      <c r="C286" s="11"/>
      <c r="D286" s="11"/>
      <c r="E286" s="11"/>
      <c r="F286" s="12"/>
      <c r="G286" s="11"/>
      <c r="H286" s="11"/>
      <c r="I286" s="11"/>
      <c r="J286" s="11"/>
      <c r="K286" s="11"/>
      <c r="L286" s="12"/>
      <c r="M286" s="11"/>
      <c r="N286" s="13"/>
      <c r="O286" s="11"/>
      <c r="P286" s="12"/>
      <c r="Q286" s="12"/>
      <c r="R286" s="12"/>
      <c r="S286" s="15"/>
    </row>
    <row r="287" ht="15" customHeight="1" s="4" customFormat="1">
      <c r="A287" s="15"/>
      <c r="B287" s="11"/>
      <c r="C287" s="11"/>
      <c r="D287" s="11"/>
      <c r="E287" s="11"/>
      <c r="F287" s="12"/>
      <c r="G287" s="11"/>
      <c r="H287" s="11"/>
      <c r="I287" s="11"/>
      <c r="J287" s="11"/>
      <c r="K287" s="11"/>
      <c r="L287" s="12"/>
      <c r="M287" s="11"/>
      <c r="N287" s="13"/>
      <c r="O287" s="11"/>
      <c r="P287" s="12"/>
      <c r="Q287" s="12"/>
      <c r="R287" s="12"/>
      <c r="S287" s="15"/>
    </row>
    <row r="288" ht="15" customHeight="1" s="4" customFormat="1">
      <c r="A288" s="15"/>
      <c r="B288" s="11"/>
      <c r="C288" s="11"/>
      <c r="D288" s="11"/>
      <c r="E288" s="11"/>
      <c r="F288" s="12"/>
      <c r="G288" s="11"/>
      <c r="H288" s="11"/>
      <c r="I288" s="11"/>
      <c r="J288" s="11"/>
      <c r="K288" s="11"/>
      <c r="L288" s="12"/>
      <c r="M288" s="11"/>
      <c r="N288" s="13"/>
      <c r="O288" s="11"/>
      <c r="P288" s="12"/>
      <c r="Q288" s="12"/>
      <c r="R288" s="12"/>
      <c r="S288" s="15"/>
    </row>
    <row r="289" ht="15" customHeight="1" s="4" customFormat="1">
      <c r="A289" s="15"/>
      <c r="B289" s="11"/>
      <c r="C289" s="11"/>
      <c r="D289" s="11"/>
      <c r="E289" s="11"/>
      <c r="F289" s="12"/>
      <c r="G289" s="11"/>
      <c r="H289" s="11"/>
      <c r="I289" s="11"/>
      <c r="J289" s="11"/>
      <c r="K289" s="11"/>
      <c r="L289" s="12"/>
      <c r="M289" s="11"/>
      <c r="N289" s="13"/>
      <c r="O289" s="11"/>
      <c r="P289" s="12"/>
      <c r="Q289" s="12"/>
      <c r="R289" s="12"/>
      <c r="S289" s="15"/>
    </row>
    <row r="290" ht="15" customHeight="1" s="4" customFormat="1">
      <c r="A290" s="15"/>
      <c r="B290" s="11"/>
      <c r="C290" s="11"/>
      <c r="D290" s="11"/>
      <c r="E290" s="11"/>
      <c r="F290" s="12"/>
      <c r="G290" s="11"/>
      <c r="H290" s="11"/>
      <c r="I290" s="11"/>
      <c r="J290" s="11"/>
      <c r="K290" s="11"/>
      <c r="L290" s="12"/>
      <c r="M290" s="11"/>
      <c r="N290" s="13"/>
      <c r="O290" s="11"/>
      <c r="P290" s="12"/>
      <c r="Q290" s="12"/>
      <c r="R290" s="12"/>
      <c r="S290" s="15"/>
    </row>
    <row r="291" ht="15" customHeight="1" s="4" customFormat="1">
      <c r="A291" s="15"/>
      <c r="B291" s="11"/>
      <c r="C291" s="11"/>
      <c r="D291" s="11"/>
      <c r="E291" s="11"/>
      <c r="F291" s="12"/>
      <c r="G291" s="11"/>
      <c r="H291" s="11"/>
      <c r="I291" s="11"/>
      <c r="J291" s="11"/>
      <c r="K291" s="11"/>
      <c r="L291" s="12"/>
      <c r="M291" s="11"/>
      <c r="N291" s="13"/>
      <c r="O291" s="11"/>
      <c r="P291" s="12"/>
      <c r="Q291" s="12"/>
      <c r="R291" s="12"/>
      <c r="S291" s="15"/>
    </row>
    <row r="292" ht="15" customHeight="1" s="4" customFormat="1">
      <c r="A292" s="15"/>
      <c r="B292" s="11"/>
      <c r="C292" s="11"/>
      <c r="D292" s="11"/>
      <c r="E292" s="11"/>
      <c r="F292" s="12"/>
      <c r="G292" s="11"/>
      <c r="H292" s="11"/>
      <c r="I292" s="11"/>
      <c r="J292" s="11"/>
      <c r="K292" s="11"/>
      <c r="L292" s="12"/>
      <c r="M292" s="11"/>
      <c r="N292" s="13"/>
      <c r="O292" s="11"/>
      <c r="P292" s="12"/>
      <c r="Q292" s="12"/>
      <c r="R292" s="12"/>
      <c r="S292" s="15"/>
    </row>
    <row r="293" ht="15" customHeight="1" s="4" customFormat="1">
      <c r="A293" s="15"/>
      <c r="B293" s="11"/>
      <c r="C293" s="11"/>
      <c r="D293" s="11"/>
      <c r="E293" s="11"/>
      <c r="F293" s="12"/>
      <c r="G293" s="11"/>
      <c r="H293" s="11"/>
      <c r="I293" s="11"/>
      <c r="J293" s="11"/>
      <c r="K293" s="11"/>
      <c r="L293" s="12"/>
      <c r="M293" s="11"/>
      <c r="N293" s="13"/>
      <c r="O293" s="11"/>
      <c r="P293" s="12"/>
      <c r="Q293" s="12"/>
      <c r="R293" s="12"/>
      <c r="S293" s="15"/>
    </row>
    <row r="294" ht="15" customHeight="1" s="4" customFormat="1">
      <c r="A294" s="15"/>
      <c r="B294" s="11"/>
      <c r="C294" s="11"/>
      <c r="D294" s="11"/>
      <c r="E294" s="11"/>
      <c r="F294" s="12"/>
      <c r="G294" s="11"/>
      <c r="H294" s="11"/>
      <c r="I294" s="11"/>
      <c r="J294" s="11"/>
      <c r="K294" s="11"/>
      <c r="L294" s="12"/>
      <c r="M294" s="11"/>
      <c r="N294" s="13"/>
      <c r="O294" s="11"/>
      <c r="P294" s="12"/>
      <c r="Q294" s="12"/>
      <c r="R294" s="12"/>
      <c r="S294" s="15"/>
    </row>
    <row r="295" ht="15" customHeight="1" s="4" customFormat="1">
      <c r="A295" s="15"/>
      <c r="B295" s="11"/>
      <c r="C295" s="11"/>
      <c r="D295" s="11"/>
      <c r="E295" s="11"/>
      <c r="F295" s="12"/>
      <c r="G295" s="11"/>
      <c r="H295" s="11"/>
      <c r="I295" s="11"/>
      <c r="J295" s="11"/>
      <c r="K295" s="11"/>
      <c r="L295" s="12"/>
      <c r="M295" s="11"/>
      <c r="N295" s="13"/>
      <c r="O295" s="11"/>
      <c r="P295" s="12"/>
      <c r="Q295" s="12"/>
      <c r="R295" s="12"/>
      <c r="S295" s="15"/>
    </row>
    <row r="296" ht="15" customHeight="1" s="4" customFormat="1">
      <c r="A296" s="15"/>
      <c r="B296" s="11"/>
      <c r="C296" s="11"/>
      <c r="D296" s="11"/>
      <c r="E296" s="11"/>
      <c r="F296" s="12"/>
      <c r="G296" s="11"/>
      <c r="H296" s="11"/>
      <c r="I296" s="11"/>
      <c r="J296" s="11"/>
      <c r="K296" s="11"/>
      <c r="L296" s="12"/>
      <c r="M296" s="11"/>
      <c r="N296" s="13"/>
      <c r="O296" s="11"/>
      <c r="P296" s="12"/>
      <c r="Q296" s="12"/>
      <c r="R296" s="12"/>
      <c r="S296" s="15"/>
    </row>
    <row r="297" ht="15" customHeight="1" s="4" customFormat="1">
      <c r="A297" s="15"/>
      <c r="B297" s="11"/>
      <c r="C297" s="11"/>
      <c r="D297" s="11"/>
      <c r="E297" s="11"/>
      <c r="F297" s="12"/>
      <c r="G297" s="11"/>
      <c r="H297" s="11"/>
      <c r="I297" s="11"/>
      <c r="J297" s="11"/>
      <c r="K297" s="11"/>
      <c r="L297" s="12"/>
      <c r="M297" s="11"/>
      <c r="N297" s="13"/>
      <c r="O297" s="11"/>
      <c r="P297" s="12"/>
      <c r="Q297" s="12"/>
      <c r="R297" s="12"/>
      <c r="S297" s="15"/>
    </row>
    <row r="298" ht="15" customHeight="1" s="4" customFormat="1">
      <c r="A298" s="15"/>
      <c r="B298" s="11"/>
      <c r="C298" s="11"/>
      <c r="D298" s="11"/>
      <c r="E298" s="11"/>
      <c r="F298" s="12"/>
      <c r="G298" s="11"/>
      <c r="H298" s="11"/>
      <c r="I298" s="11"/>
      <c r="J298" s="11"/>
      <c r="K298" s="11"/>
      <c r="L298" s="12"/>
      <c r="M298" s="11"/>
      <c r="N298" s="13"/>
      <c r="O298" s="11"/>
      <c r="P298" s="12"/>
      <c r="Q298" s="12"/>
      <c r="R298" s="12"/>
      <c r="S298" s="15"/>
    </row>
    <row r="299" ht="15" customHeight="1" s="4" customFormat="1">
      <c r="A299" s="15"/>
      <c r="B299" s="11"/>
      <c r="C299" s="11"/>
      <c r="D299" s="11"/>
      <c r="E299" s="11"/>
      <c r="F299" s="12"/>
      <c r="G299" s="11"/>
      <c r="H299" s="11"/>
      <c r="I299" s="11"/>
      <c r="J299" s="11"/>
      <c r="K299" s="11"/>
      <c r="L299" s="12"/>
      <c r="M299" s="11"/>
      <c r="N299" s="13"/>
      <c r="O299" s="11"/>
      <c r="P299" s="12"/>
      <c r="Q299" s="12"/>
      <c r="R299" s="12"/>
      <c r="S299" s="15"/>
    </row>
    <row r="300" ht="15" customHeight="1" s="4" customFormat="1">
      <c r="A300" s="15"/>
      <c r="B300" s="11"/>
      <c r="C300" s="11"/>
      <c r="D300" s="11"/>
      <c r="E300" s="11"/>
      <c r="F300" s="12"/>
      <c r="G300" s="11"/>
      <c r="H300" s="11"/>
      <c r="I300" s="11"/>
      <c r="J300" s="11"/>
      <c r="K300" s="11"/>
      <c r="L300" s="12"/>
      <c r="M300" s="11"/>
      <c r="N300" s="13"/>
      <c r="O300" s="11"/>
      <c r="P300" s="12"/>
      <c r="Q300" s="12"/>
      <c r="R300" s="12"/>
      <c r="S300" s="15"/>
    </row>
    <row r="301" ht="15" customHeight="1" s="4" customFormat="1">
      <c r="A301" s="15"/>
      <c r="B301" s="11"/>
      <c r="C301" s="11"/>
      <c r="D301" s="11"/>
      <c r="E301" s="11"/>
      <c r="F301" s="12"/>
      <c r="G301" s="11"/>
      <c r="H301" s="11"/>
      <c r="I301" s="11"/>
      <c r="J301" s="11"/>
      <c r="K301" s="11"/>
      <c r="L301" s="12"/>
      <c r="M301" s="11"/>
      <c r="N301" s="13"/>
      <c r="O301" s="11"/>
      <c r="P301" s="12"/>
      <c r="Q301" s="12"/>
      <c r="R301" s="12"/>
      <c r="S301" s="15"/>
    </row>
    <row r="302" ht="15" customHeight="1" s="4" customFormat="1">
      <c r="A302" s="15"/>
      <c r="B302" s="11"/>
      <c r="C302" s="11"/>
      <c r="D302" s="11"/>
      <c r="E302" s="11"/>
      <c r="F302" s="12"/>
      <c r="G302" s="11"/>
      <c r="H302" s="11"/>
      <c r="I302" s="11"/>
      <c r="J302" s="11"/>
      <c r="K302" s="11"/>
      <c r="L302" s="12"/>
      <c r="M302" s="11"/>
      <c r="N302" s="13"/>
      <c r="O302" s="11"/>
      <c r="P302" s="12"/>
      <c r="Q302" s="12"/>
      <c r="R302" s="12"/>
      <c r="S302" s="15"/>
    </row>
    <row r="303" ht="15" customHeight="1" s="4" customFormat="1">
      <c r="A303" s="15"/>
      <c r="B303" s="11"/>
      <c r="C303" s="11"/>
      <c r="D303" s="11"/>
      <c r="E303" s="11"/>
      <c r="F303" s="12"/>
      <c r="G303" s="11"/>
      <c r="H303" s="11"/>
      <c r="I303" s="11"/>
      <c r="J303" s="11"/>
      <c r="K303" s="11"/>
      <c r="L303" s="12"/>
      <c r="M303" s="11"/>
      <c r="N303" s="13"/>
      <c r="O303" s="11"/>
      <c r="P303" s="12"/>
      <c r="Q303" s="12"/>
      <c r="R303" s="12"/>
      <c r="S303" s="15"/>
    </row>
    <row r="304" ht="15" customHeight="1" s="4" customFormat="1">
      <c r="A304" s="15"/>
      <c r="B304" s="11"/>
      <c r="C304" s="11"/>
      <c r="D304" s="11"/>
      <c r="E304" s="11"/>
      <c r="F304" s="12"/>
      <c r="G304" s="11"/>
      <c r="H304" s="11"/>
      <c r="I304" s="11"/>
      <c r="J304" s="11"/>
      <c r="K304" s="11"/>
      <c r="L304" s="12"/>
      <c r="M304" s="11"/>
      <c r="N304" s="13"/>
      <c r="O304" s="11"/>
      <c r="P304" s="12"/>
      <c r="Q304" s="12"/>
      <c r="R304" s="12"/>
      <c r="S304" s="15"/>
    </row>
    <row r="305" ht="15" customHeight="1" s="4" customFormat="1">
      <c r="A305" s="15"/>
      <c r="B305" s="11"/>
      <c r="C305" s="11"/>
      <c r="D305" s="11"/>
      <c r="E305" s="11"/>
      <c r="F305" s="12"/>
      <c r="G305" s="11"/>
      <c r="H305" s="11"/>
      <c r="I305" s="11"/>
      <c r="J305" s="11"/>
      <c r="K305" s="11"/>
      <c r="L305" s="12"/>
      <c r="M305" s="11"/>
      <c r="N305" s="13"/>
      <c r="O305" s="11"/>
      <c r="P305" s="12"/>
      <c r="Q305" s="12"/>
      <c r="R305" s="12"/>
      <c r="S305" s="15"/>
    </row>
    <row r="306" ht="15" customHeight="1" s="4" customFormat="1">
      <c r="A306" s="15"/>
      <c r="B306" s="11"/>
      <c r="C306" s="11"/>
      <c r="D306" s="11"/>
      <c r="E306" s="11"/>
      <c r="F306" s="12"/>
      <c r="G306" s="11"/>
      <c r="H306" s="11"/>
      <c r="I306" s="11"/>
      <c r="J306" s="11"/>
      <c r="K306" s="11"/>
      <c r="L306" s="12"/>
      <c r="M306" s="11"/>
      <c r="N306" s="13"/>
      <c r="O306" s="11"/>
      <c r="P306" s="12"/>
      <c r="Q306" s="12"/>
      <c r="R306" s="12"/>
      <c r="S306" s="15"/>
    </row>
    <row r="307" ht="15" customHeight="1" s="4" customFormat="1">
      <c r="A307" s="15"/>
      <c r="B307" s="11"/>
      <c r="C307" s="11"/>
      <c r="D307" s="11"/>
      <c r="E307" s="11"/>
      <c r="F307" s="12"/>
      <c r="G307" s="11"/>
      <c r="H307" s="11"/>
      <c r="I307" s="11"/>
      <c r="J307" s="11"/>
      <c r="K307" s="11"/>
      <c r="L307" s="12"/>
      <c r="M307" s="11"/>
      <c r="N307" s="13"/>
      <c r="O307" s="11"/>
      <c r="P307" s="12"/>
      <c r="Q307" s="12"/>
      <c r="R307" s="12"/>
      <c r="S307" s="15"/>
    </row>
    <row r="308" ht="15" customHeight="1" s="4" customFormat="1">
      <c r="A308" s="15"/>
      <c r="B308" s="11"/>
      <c r="C308" s="11"/>
      <c r="D308" s="11"/>
      <c r="E308" s="11"/>
      <c r="F308" s="12"/>
      <c r="G308" s="11"/>
      <c r="H308" s="11"/>
      <c r="I308" s="11"/>
      <c r="J308" s="11"/>
      <c r="K308" s="11"/>
      <c r="L308" s="12"/>
      <c r="M308" s="11"/>
      <c r="N308" s="13"/>
      <c r="O308" s="11"/>
      <c r="P308" s="12"/>
      <c r="Q308" s="12"/>
      <c r="R308" s="12"/>
      <c r="S308" s="15"/>
    </row>
    <row r="309" ht="15" customHeight="1" s="4" customFormat="1">
      <c r="A309" s="15"/>
      <c r="B309" s="11"/>
      <c r="C309" s="11"/>
      <c r="D309" s="11"/>
      <c r="E309" s="11"/>
      <c r="F309" s="12"/>
      <c r="G309" s="11"/>
      <c r="H309" s="11"/>
      <c r="I309" s="11"/>
      <c r="J309" s="11"/>
      <c r="K309" s="11"/>
      <c r="L309" s="12"/>
      <c r="M309" s="11"/>
      <c r="N309" s="13"/>
      <c r="O309" s="11"/>
      <c r="P309" s="12"/>
      <c r="Q309" s="12"/>
      <c r="R309" s="12"/>
      <c r="S309" s="15"/>
    </row>
    <row r="310" ht="15" customHeight="1" s="4" customFormat="1">
      <c r="A310" s="15"/>
      <c r="B310" s="11"/>
      <c r="C310" s="11"/>
      <c r="D310" s="11"/>
      <c r="E310" s="11"/>
      <c r="F310" s="12"/>
      <c r="G310" s="11"/>
      <c r="H310" s="11"/>
      <c r="I310" s="11"/>
      <c r="J310" s="11"/>
      <c r="K310" s="11"/>
      <c r="L310" s="12"/>
      <c r="M310" s="11"/>
      <c r="N310" s="13"/>
      <c r="O310" s="11"/>
      <c r="P310" s="12"/>
      <c r="Q310" s="12"/>
      <c r="R310" s="12"/>
      <c r="S310" s="15"/>
    </row>
    <row r="311" ht="15" customHeight="1" s="4" customFormat="1">
      <c r="A311" s="15"/>
      <c r="B311" s="11"/>
      <c r="C311" s="11"/>
      <c r="D311" s="11"/>
      <c r="E311" s="11"/>
      <c r="F311" s="12"/>
      <c r="G311" s="11"/>
      <c r="H311" s="11"/>
      <c r="I311" s="11"/>
      <c r="J311" s="11"/>
      <c r="K311" s="11"/>
      <c r="L311" s="12"/>
      <c r="M311" s="11"/>
      <c r="N311" s="13"/>
      <c r="O311" s="11"/>
      <c r="P311" s="12"/>
      <c r="Q311" s="12"/>
      <c r="R311" s="12"/>
      <c r="S311" s="15"/>
    </row>
    <row r="312" ht="15" customHeight="1" s="4" customFormat="1">
      <c r="A312" s="15"/>
      <c r="B312" s="11"/>
      <c r="C312" s="11"/>
      <c r="D312" s="11"/>
      <c r="E312" s="11"/>
      <c r="F312" s="12"/>
      <c r="G312" s="11"/>
      <c r="H312" s="11"/>
      <c r="I312" s="11"/>
      <c r="J312" s="11"/>
      <c r="K312" s="11"/>
      <c r="L312" s="12"/>
      <c r="M312" s="11"/>
      <c r="N312" s="13"/>
      <c r="O312" s="11"/>
      <c r="P312" s="12"/>
      <c r="Q312" s="12"/>
      <c r="R312" s="12"/>
      <c r="S312" s="15"/>
    </row>
    <row r="313" ht="15" customHeight="1" s="4" customFormat="1">
      <c r="A313" s="15"/>
      <c r="B313" s="11"/>
      <c r="C313" s="11"/>
      <c r="D313" s="11"/>
      <c r="E313" s="11"/>
      <c r="F313" s="12"/>
      <c r="G313" s="11"/>
      <c r="H313" s="11"/>
      <c r="I313" s="11"/>
      <c r="J313" s="11"/>
      <c r="K313" s="11"/>
      <c r="L313" s="12"/>
      <c r="M313" s="11"/>
      <c r="N313" s="13"/>
      <c r="O313" s="11"/>
      <c r="P313" s="12"/>
      <c r="Q313" s="12"/>
      <c r="R313" s="12"/>
      <c r="S313" s="15"/>
    </row>
    <row r="314" ht="15" customHeight="1" s="4" customFormat="1">
      <c r="A314" s="15"/>
      <c r="B314" s="11"/>
      <c r="C314" s="11"/>
      <c r="D314" s="11"/>
      <c r="E314" s="11"/>
      <c r="F314" s="12"/>
      <c r="G314" s="11"/>
      <c r="H314" s="11"/>
      <c r="I314" s="11"/>
      <c r="J314" s="11"/>
      <c r="K314" s="11"/>
      <c r="L314" s="12"/>
      <c r="M314" s="11"/>
      <c r="N314" s="13"/>
      <c r="O314" s="11"/>
      <c r="P314" s="12"/>
      <c r="Q314" s="12"/>
      <c r="R314" s="12"/>
      <c r="S314" s="15"/>
    </row>
    <row r="315" ht="15" customHeight="1" s="4" customFormat="1">
      <c r="A315" s="15"/>
      <c r="B315" s="11"/>
      <c r="C315" s="11"/>
      <c r="D315" s="11"/>
      <c r="E315" s="11"/>
      <c r="F315" s="12"/>
      <c r="G315" s="11"/>
      <c r="H315" s="11"/>
      <c r="I315" s="11"/>
      <c r="J315" s="11"/>
      <c r="K315" s="11"/>
      <c r="L315" s="12"/>
      <c r="M315" s="11"/>
      <c r="N315" s="13"/>
      <c r="O315" s="11"/>
      <c r="P315" s="12"/>
      <c r="Q315" s="12"/>
      <c r="R315" s="12"/>
      <c r="S315" s="15"/>
    </row>
    <row r="316" ht="15" customHeight="1" s="4" customFormat="1">
      <c r="A316" s="15"/>
      <c r="B316" s="11"/>
      <c r="C316" s="11"/>
      <c r="D316" s="11"/>
      <c r="E316" s="11"/>
      <c r="F316" s="12"/>
      <c r="G316" s="11"/>
      <c r="H316" s="11"/>
      <c r="I316" s="11"/>
      <c r="J316" s="11"/>
      <c r="K316" s="11"/>
      <c r="L316" s="12"/>
      <c r="M316" s="11"/>
      <c r="N316" s="13"/>
      <c r="O316" s="11"/>
      <c r="P316" s="12"/>
      <c r="Q316" s="12"/>
      <c r="R316" s="12"/>
      <c r="S316" s="15"/>
    </row>
    <row r="317" ht="15" customHeight="1" s="4" customFormat="1">
      <c r="A317" s="15"/>
      <c r="B317" s="11"/>
      <c r="C317" s="11"/>
      <c r="D317" s="11"/>
      <c r="E317" s="11"/>
      <c r="F317" s="12"/>
      <c r="G317" s="11"/>
      <c r="H317" s="11"/>
      <c r="I317" s="11"/>
      <c r="J317" s="11"/>
      <c r="K317" s="11"/>
      <c r="L317" s="12"/>
      <c r="M317" s="11"/>
      <c r="N317" s="13"/>
      <c r="O317" s="11"/>
      <c r="P317" s="12"/>
      <c r="Q317" s="12"/>
      <c r="R317" s="12"/>
      <c r="S317" s="15"/>
    </row>
    <row r="318" ht="15" customHeight="1" s="4" customFormat="1">
      <c r="A318" s="15"/>
      <c r="B318" s="11"/>
      <c r="C318" s="11"/>
      <c r="D318" s="11"/>
      <c r="E318" s="11"/>
      <c r="F318" s="12"/>
      <c r="G318" s="11"/>
      <c r="H318" s="11"/>
      <c r="I318" s="11"/>
      <c r="J318" s="11"/>
      <c r="K318" s="11"/>
      <c r="L318" s="12"/>
      <c r="M318" s="11"/>
      <c r="N318" s="13"/>
      <c r="O318" s="11"/>
      <c r="P318" s="12"/>
      <c r="Q318" s="12"/>
      <c r="R318" s="12"/>
      <c r="S318" s="15"/>
    </row>
    <row r="319" ht="15" customHeight="1" s="4" customFormat="1">
      <c r="A319" s="15"/>
      <c r="B319" s="11"/>
      <c r="C319" s="11"/>
      <c r="D319" s="11"/>
      <c r="E319" s="11"/>
      <c r="F319" s="12"/>
      <c r="G319" s="11"/>
      <c r="H319" s="11"/>
      <c r="I319" s="11"/>
      <c r="J319" s="11"/>
      <c r="K319" s="11"/>
      <c r="L319" s="12"/>
      <c r="M319" s="11"/>
      <c r="N319" s="13"/>
      <c r="O319" s="11"/>
      <c r="P319" s="12"/>
      <c r="Q319" s="12"/>
      <c r="R319" s="12"/>
      <c r="S319" s="15"/>
    </row>
    <row r="320" ht="15" customHeight="1" s="4" customFormat="1">
      <c r="A320" s="15"/>
      <c r="B320" s="11"/>
      <c r="C320" s="11"/>
      <c r="D320" s="11"/>
      <c r="E320" s="11"/>
      <c r="F320" s="12"/>
      <c r="G320" s="11"/>
      <c r="H320" s="11"/>
      <c r="I320" s="11"/>
      <c r="J320" s="11"/>
      <c r="K320" s="11"/>
      <c r="L320" s="12"/>
      <c r="M320" s="11"/>
      <c r="N320" s="13"/>
      <c r="O320" s="11"/>
      <c r="P320" s="12"/>
      <c r="Q320" s="12"/>
      <c r="R320" s="12"/>
      <c r="S320" s="15"/>
    </row>
    <row r="321" ht="15" customHeight="1" s="4" customFormat="1">
      <c r="A321" s="15"/>
      <c r="B321" s="11"/>
      <c r="C321" s="11"/>
      <c r="D321" s="11"/>
      <c r="E321" s="11"/>
      <c r="F321" s="12"/>
      <c r="G321" s="11"/>
      <c r="H321" s="11"/>
      <c r="I321" s="11"/>
      <c r="J321" s="11"/>
      <c r="K321" s="11"/>
      <c r="L321" s="12"/>
      <c r="M321" s="11"/>
      <c r="N321" s="13"/>
      <c r="O321" s="11"/>
      <c r="P321" s="12"/>
      <c r="Q321" s="12"/>
      <c r="R321" s="12"/>
      <c r="S321" s="15"/>
    </row>
    <row r="322" ht="15" customHeight="1" s="4" customFormat="1">
      <c r="A322" s="15"/>
      <c r="B322" s="11"/>
      <c r="C322" s="11"/>
      <c r="D322" s="11"/>
      <c r="E322" s="11"/>
      <c r="F322" s="12"/>
      <c r="G322" s="11"/>
      <c r="H322" s="11"/>
      <c r="I322" s="11"/>
      <c r="J322" s="11"/>
      <c r="K322" s="11"/>
      <c r="L322" s="12"/>
      <c r="M322" s="11"/>
      <c r="N322" s="13"/>
      <c r="O322" s="11"/>
      <c r="P322" s="12"/>
      <c r="Q322" s="12"/>
      <c r="R322" s="12"/>
      <c r="S322" s="15"/>
    </row>
    <row r="323" ht="15" customHeight="1" s="4" customFormat="1">
      <c r="A323" s="15"/>
      <c r="B323" s="11"/>
      <c r="C323" s="11"/>
      <c r="D323" s="11"/>
      <c r="E323" s="11"/>
      <c r="F323" s="12"/>
      <c r="G323" s="11"/>
      <c r="H323" s="11"/>
      <c r="I323" s="11"/>
      <c r="J323" s="11"/>
      <c r="K323" s="11"/>
      <c r="L323" s="12"/>
      <c r="M323" s="11"/>
      <c r="N323" s="13"/>
      <c r="O323" s="11"/>
      <c r="P323" s="12"/>
      <c r="Q323" s="12"/>
      <c r="R323" s="12"/>
      <c r="S323" s="15"/>
    </row>
    <row r="324" ht="15" customHeight="1" s="4" customFormat="1">
      <c r="A324" s="15"/>
      <c r="B324" s="11"/>
      <c r="C324" s="11"/>
      <c r="D324" s="11"/>
      <c r="E324" s="11"/>
      <c r="F324" s="12"/>
      <c r="G324" s="11"/>
      <c r="H324" s="11"/>
      <c r="I324" s="11"/>
      <c r="J324" s="11"/>
      <c r="K324" s="11"/>
      <c r="L324" s="12"/>
      <c r="M324" s="11"/>
      <c r="N324" s="13"/>
      <c r="O324" s="11"/>
      <c r="P324" s="12"/>
      <c r="Q324" s="12"/>
      <c r="R324" s="12"/>
      <c r="S324" s="15"/>
    </row>
    <row r="325" ht="15" customHeight="1" s="4" customFormat="1">
      <c r="A325" s="15"/>
      <c r="B325" s="11"/>
      <c r="C325" s="11"/>
      <c r="D325" s="11"/>
      <c r="E325" s="11"/>
      <c r="F325" s="12"/>
      <c r="G325" s="11"/>
      <c r="H325" s="11"/>
      <c r="I325" s="11"/>
      <c r="J325" s="11"/>
      <c r="K325" s="11"/>
      <c r="L325" s="12"/>
      <c r="M325" s="11"/>
      <c r="N325" s="13"/>
      <c r="O325" s="11"/>
      <c r="P325" s="12"/>
      <c r="Q325" s="12"/>
      <c r="R325" s="12"/>
      <c r="S325" s="15"/>
    </row>
    <row r="326" ht="15" customHeight="1" s="4" customFormat="1">
      <c r="A326" s="15"/>
      <c r="B326" s="11"/>
      <c r="C326" s="11"/>
      <c r="D326" s="11"/>
      <c r="E326" s="11"/>
      <c r="F326" s="12"/>
      <c r="G326" s="11"/>
      <c r="H326" s="11"/>
      <c r="I326" s="11"/>
      <c r="J326" s="11"/>
      <c r="K326" s="11"/>
      <c r="L326" s="12"/>
      <c r="M326" s="11"/>
      <c r="N326" s="13"/>
      <c r="O326" s="11"/>
      <c r="P326" s="12"/>
      <c r="Q326" s="12"/>
      <c r="R326" s="12"/>
      <c r="S326" s="15"/>
    </row>
    <row r="327" ht="15" customHeight="1" s="4" customFormat="1">
      <c r="A327" s="15"/>
      <c r="B327" s="11"/>
      <c r="C327" s="11"/>
      <c r="D327" s="11"/>
      <c r="E327" s="11"/>
      <c r="F327" s="12"/>
      <c r="G327" s="11"/>
      <c r="H327" s="11"/>
      <c r="I327" s="11"/>
      <c r="J327" s="11"/>
      <c r="K327" s="11"/>
      <c r="L327" s="12"/>
      <c r="M327" s="11"/>
      <c r="N327" s="13"/>
      <c r="O327" s="11"/>
      <c r="P327" s="12"/>
      <c r="Q327" s="12"/>
      <c r="R327" s="12"/>
      <c r="S327" s="15"/>
    </row>
    <row r="328" ht="15" customHeight="1" s="4" customFormat="1">
      <c r="A328" s="15"/>
      <c r="B328" s="11"/>
      <c r="C328" s="11"/>
      <c r="D328" s="11"/>
      <c r="E328" s="11"/>
      <c r="F328" s="12"/>
      <c r="G328" s="11"/>
      <c r="H328" s="11"/>
      <c r="I328" s="11"/>
      <c r="J328" s="11"/>
      <c r="K328" s="11"/>
      <c r="L328" s="12"/>
      <c r="M328" s="11"/>
      <c r="N328" s="13"/>
      <c r="O328" s="11"/>
      <c r="P328" s="12"/>
      <c r="Q328" s="12"/>
      <c r="R328" s="12"/>
      <c r="S328" s="15"/>
    </row>
    <row r="329" ht="15" customHeight="1" s="4" customFormat="1">
      <c r="A329" s="15"/>
      <c r="B329" s="11"/>
      <c r="C329" s="11"/>
      <c r="D329" s="11"/>
      <c r="E329" s="11"/>
      <c r="F329" s="12"/>
      <c r="G329" s="11"/>
      <c r="H329" s="11"/>
      <c r="I329" s="11"/>
      <c r="J329" s="11"/>
      <c r="K329" s="11"/>
      <c r="L329" s="12"/>
      <c r="M329" s="11"/>
      <c r="N329" s="13"/>
      <c r="O329" s="11"/>
      <c r="P329" s="12"/>
      <c r="Q329" s="12"/>
      <c r="R329" s="12"/>
      <c r="S329" s="15"/>
    </row>
    <row r="330" ht="15" customHeight="1" s="4" customFormat="1">
      <c r="A330" s="15"/>
      <c r="B330" s="11"/>
      <c r="C330" s="11"/>
      <c r="D330" s="11"/>
      <c r="E330" s="11"/>
      <c r="F330" s="12"/>
      <c r="G330" s="11"/>
      <c r="H330" s="11"/>
      <c r="I330" s="11"/>
      <c r="J330" s="11"/>
      <c r="K330" s="11"/>
      <c r="L330" s="12"/>
      <c r="M330" s="11"/>
      <c r="N330" s="13"/>
      <c r="O330" s="11"/>
      <c r="P330" s="12"/>
      <c r="Q330" s="12"/>
      <c r="R330" s="12"/>
      <c r="S330" s="15"/>
    </row>
    <row r="331" ht="15" customHeight="1" s="4" customFormat="1">
      <c r="A331" s="15"/>
      <c r="B331" s="11"/>
      <c r="C331" s="11"/>
      <c r="D331" s="11"/>
      <c r="E331" s="11"/>
      <c r="F331" s="12"/>
      <c r="G331" s="11"/>
      <c r="H331" s="11"/>
      <c r="I331" s="11"/>
      <c r="J331" s="11"/>
      <c r="K331" s="11"/>
      <c r="L331" s="12"/>
      <c r="M331" s="11"/>
      <c r="N331" s="13"/>
      <c r="O331" s="11"/>
      <c r="P331" s="12"/>
      <c r="Q331" s="12"/>
      <c r="R331" s="12"/>
      <c r="S331" s="15"/>
    </row>
    <row r="332" ht="15" customHeight="1" s="4" customFormat="1">
      <c r="A332" s="15"/>
      <c r="B332" s="11"/>
      <c r="C332" s="11"/>
      <c r="D332" s="11"/>
      <c r="E332" s="11"/>
      <c r="F332" s="12"/>
      <c r="G332" s="11"/>
      <c r="H332" s="11"/>
      <c r="I332" s="11"/>
      <c r="J332" s="11"/>
      <c r="K332" s="11"/>
      <c r="L332" s="12"/>
      <c r="M332" s="11"/>
      <c r="N332" s="13"/>
      <c r="O332" s="11"/>
      <c r="P332" s="12"/>
      <c r="Q332" s="12"/>
      <c r="R332" s="12"/>
      <c r="S332" s="15"/>
    </row>
    <row r="333" ht="15" customHeight="1" s="4" customFormat="1">
      <c r="A333" s="15"/>
      <c r="B333" s="11"/>
      <c r="C333" s="11"/>
      <c r="D333" s="11"/>
      <c r="E333" s="11"/>
      <c r="F333" s="12"/>
      <c r="G333" s="11"/>
      <c r="H333" s="11"/>
      <c r="I333" s="11"/>
      <c r="J333" s="11"/>
      <c r="K333" s="11"/>
      <c r="L333" s="12"/>
      <c r="M333" s="11"/>
      <c r="N333" s="13"/>
      <c r="O333" s="11"/>
      <c r="P333" s="12"/>
      <c r="Q333" s="12"/>
      <c r="R333" s="12"/>
      <c r="S333" s="15"/>
    </row>
    <row r="334" ht="15" customHeight="1" s="4" customFormat="1">
      <c r="A334" s="15"/>
      <c r="B334" s="11"/>
      <c r="C334" s="11"/>
      <c r="D334" s="11"/>
      <c r="E334" s="11"/>
      <c r="F334" s="12"/>
      <c r="G334" s="11"/>
      <c r="H334" s="11"/>
      <c r="I334" s="11"/>
      <c r="J334" s="11"/>
      <c r="K334" s="11"/>
      <c r="L334" s="12"/>
      <c r="M334" s="11"/>
      <c r="N334" s="13"/>
      <c r="O334" s="11"/>
      <c r="P334" s="12"/>
      <c r="Q334" s="12"/>
      <c r="R334" s="12"/>
      <c r="S334" s="15"/>
    </row>
    <row r="335" ht="15" customHeight="1" s="4" customFormat="1">
      <c r="A335" s="15"/>
      <c r="B335" s="11"/>
      <c r="C335" s="11"/>
      <c r="D335" s="11"/>
      <c r="E335" s="11"/>
      <c r="F335" s="12"/>
      <c r="G335" s="11"/>
      <c r="H335" s="11"/>
      <c r="I335" s="11"/>
      <c r="J335" s="11"/>
      <c r="K335" s="11"/>
      <c r="L335" s="12"/>
      <c r="M335" s="11"/>
      <c r="N335" s="13"/>
      <c r="O335" s="11"/>
      <c r="P335" s="12"/>
      <c r="Q335" s="12"/>
      <c r="R335" s="12"/>
      <c r="S335" s="15"/>
    </row>
    <row r="336" ht="15" customHeight="1" s="4" customFormat="1">
      <c r="A336" s="15"/>
      <c r="B336" s="11"/>
      <c r="C336" s="11"/>
      <c r="D336" s="11"/>
      <c r="E336" s="11"/>
      <c r="F336" s="12"/>
      <c r="G336" s="11"/>
      <c r="H336" s="11"/>
      <c r="I336" s="11"/>
      <c r="J336" s="11"/>
      <c r="K336" s="11"/>
      <c r="L336" s="12"/>
      <c r="M336" s="11"/>
      <c r="N336" s="13"/>
      <c r="O336" s="11"/>
      <c r="P336" s="12"/>
      <c r="Q336" s="12"/>
      <c r="R336" s="12"/>
      <c r="S336" s="15"/>
    </row>
    <row r="337" ht="15" customHeight="1" s="4" customFormat="1">
      <c r="A337" s="15"/>
      <c r="B337" s="11"/>
      <c r="C337" s="11"/>
      <c r="D337" s="11"/>
      <c r="E337" s="11"/>
      <c r="F337" s="12"/>
      <c r="G337" s="11"/>
      <c r="H337" s="11"/>
      <c r="I337" s="11"/>
      <c r="J337" s="11"/>
      <c r="K337" s="11"/>
      <c r="L337" s="12"/>
      <c r="M337" s="11"/>
      <c r="N337" s="13"/>
      <c r="O337" s="11"/>
      <c r="P337" s="12"/>
      <c r="Q337" s="12"/>
      <c r="R337" s="12"/>
      <c r="S337" s="15"/>
    </row>
    <row r="338" ht="15" customHeight="1" s="4" customFormat="1">
      <c r="A338" s="15"/>
      <c r="B338" s="11"/>
      <c r="C338" s="11"/>
      <c r="D338" s="11"/>
      <c r="E338" s="11"/>
      <c r="F338" s="12"/>
      <c r="G338" s="11"/>
      <c r="H338" s="11"/>
      <c r="I338" s="11"/>
      <c r="J338" s="11"/>
      <c r="K338" s="11"/>
      <c r="L338" s="12"/>
      <c r="M338" s="11"/>
      <c r="N338" s="13"/>
      <c r="O338" s="11"/>
      <c r="P338" s="12"/>
      <c r="Q338" s="12"/>
      <c r="R338" s="12"/>
      <c r="S338" s="15"/>
    </row>
    <row r="339" ht="15" customHeight="1" s="4" customFormat="1">
      <c r="A339" s="15"/>
      <c r="B339" s="11"/>
      <c r="C339" s="11"/>
      <c r="D339" s="11"/>
      <c r="E339" s="11"/>
      <c r="F339" s="12"/>
      <c r="G339" s="11"/>
      <c r="H339" s="11"/>
      <c r="I339" s="11"/>
      <c r="J339" s="11"/>
      <c r="K339" s="11"/>
      <c r="L339" s="12"/>
      <c r="M339" s="11"/>
      <c r="N339" s="13"/>
      <c r="O339" s="11"/>
      <c r="P339" s="12"/>
      <c r="Q339" s="12"/>
      <c r="R339" s="12"/>
      <c r="S339" s="15"/>
    </row>
    <row r="340" ht="15" customHeight="1" s="4" customFormat="1">
      <c r="A340" s="15"/>
      <c r="B340" s="11"/>
      <c r="C340" s="11"/>
      <c r="D340" s="11"/>
      <c r="E340" s="11"/>
      <c r="F340" s="12"/>
      <c r="G340" s="11"/>
      <c r="H340" s="11"/>
      <c r="I340" s="11"/>
      <c r="J340" s="11"/>
      <c r="K340" s="11"/>
      <c r="L340" s="12"/>
      <c r="M340" s="11"/>
      <c r="N340" s="13"/>
      <c r="O340" s="11"/>
      <c r="P340" s="12"/>
      <c r="Q340" s="12"/>
      <c r="R340" s="12"/>
      <c r="S340" s="15"/>
    </row>
    <row r="341" ht="15" customHeight="1" s="4" customFormat="1">
      <c r="A341" s="15"/>
      <c r="B341" s="11"/>
      <c r="C341" s="11"/>
      <c r="D341" s="11"/>
      <c r="E341" s="11"/>
      <c r="F341" s="12"/>
      <c r="G341" s="11"/>
      <c r="H341" s="11"/>
      <c r="I341" s="11"/>
      <c r="J341" s="11"/>
      <c r="K341" s="11"/>
      <c r="L341" s="12"/>
      <c r="M341" s="11"/>
      <c r="N341" s="13"/>
      <c r="O341" s="11"/>
      <c r="P341" s="12"/>
      <c r="Q341" s="12"/>
      <c r="R341" s="12"/>
      <c r="S341" s="15"/>
    </row>
    <row r="342" ht="15" customHeight="1" s="4" customFormat="1">
      <c r="A342" s="15"/>
      <c r="B342" s="11"/>
      <c r="C342" s="11"/>
      <c r="D342" s="11"/>
      <c r="E342" s="11"/>
      <c r="F342" s="12"/>
      <c r="G342" s="11"/>
      <c r="H342" s="11"/>
      <c r="I342" s="11"/>
      <c r="J342" s="11"/>
      <c r="K342" s="11"/>
      <c r="L342" s="12"/>
      <c r="M342" s="11"/>
      <c r="N342" s="13"/>
      <c r="O342" s="11"/>
      <c r="P342" s="12"/>
      <c r="Q342" s="12"/>
      <c r="R342" s="12"/>
      <c r="S342" s="15"/>
    </row>
    <row r="343" ht="15" customHeight="1" s="4" customFormat="1">
      <c r="A343" s="15"/>
      <c r="B343" s="11"/>
      <c r="C343" s="11"/>
      <c r="D343" s="11"/>
      <c r="E343" s="11"/>
      <c r="F343" s="12"/>
      <c r="G343" s="11"/>
      <c r="H343" s="11"/>
      <c r="I343" s="11"/>
      <c r="J343" s="11"/>
      <c r="K343" s="11"/>
      <c r="L343" s="12"/>
      <c r="M343" s="11"/>
      <c r="N343" s="13"/>
      <c r="O343" s="11"/>
      <c r="P343" s="12"/>
      <c r="Q343" s="12"/>
      <c r="R343" s="12"/>
      <c r="S343" s="15"/>
    </row>
    <row r="344" ht="15" customHeight="1" s="4" customFormat="1">
      <c r="A344" s="15"/>
      <c r="B344" s="11"/>
      <c r="C344" s="11"/>
      <c r="D344" s="11"/>
      <c r="E344" s="11"/>
      <c r="F344" s="12"/>
      <c r="G344" s="11"/>
      <c r="H344" s="11"/>
      <c r="I344" s="11"/>
      <c r="J344" s="11"/>
      <c r="K344" s="11"/>
      <c r="L344" s="12"/>
      <c r="M344" s="11"/>
      <c r="N344" s="13"/>
      <c r="O344" s="11"/>
      <c r="P344" s="12"/>
      <c r="Q344" s="12"/>
      <c r="R344" s="12"/>
      <c r="S344" s="15"/>
    </row>
    <row r="345" ht="15" customHeight="1" s="4" customFormat="1">
      <c r="A345" s="15"/>
      <c r="B345" s="11"/>
      <c r="C345" s="11"/>
      <c r="D345" s="11"/>
      <c r="E345" s="11"/>
      <c r="F345" s="12"/>
      <c r="G345" s="11"/>
      <c r="H345" s="11"/>
      <c r="I345" s="11"/>
      <c r="J345" s="11"/>
      <c r="K345" s="11"/>
      <c r="L345" s="12"/>
      <c r="M345" s="11"/>
      <c r="N345" s="13"/>
      <c r="O345" s="11"/>
      <c r="P345" s="12"/>
      <c r="Q345" s="12"/>
      <c r="R345" s="12"/>
      <c r="S345" s="15"/>
    </row>
    <row r="346" ht="15" customHeight="1" s="4" customFormat="1">
      <c r="A346" s="15"/>
      <c r="B346" s="11"/>
      <c r="C346" s="11"/>
      <c r="D346" s="11"/>
      <c r="E346" s="11"/>
      <c r="F346" s="12"/>
      <c r="G346" s="11"/>
      <c r="H346" s="11"/>
      <c r="I346" s="11"/>
      <c r="J346" s="11"/>
      <c r="K346" s="11"/>
      <c r="L346" s="12"/>
      <c r="M346" s="11"/>
      <c r="N346" s="13"/>
      <c r="O346" s="11"/>
      <c r="P346" s="12"/>
      <c r="Q346" s="12"/>
      <c r="R346" s="12"/>
      <c r="S346" s="15"/>
    </row>
    <row r="347" ht="15" customHeight="1" s="4" customFormat="1">
      <c r="A347" s="15"/>
      <c r="B347" s="11"/>
      <c r="C347" s="11"/>
      <c r="D347" s="11"/>
      <c r="E347" s="11"/>
      <c r="F347" s="12"/>
      <c r="G347" s="11"/>
      <c r="H347" s="11"/>
      <c r="I347" s="11"/>
      <c r="J347" s="11"/>
      <c r="K347" s="11"/>
      <c r="L347" s="12"/>
      <c r="M347" s="11"/>
      <c r="N347" s="13"/>
      <c r="O347" s="11"/>
      <c r="P347" s="12"/>
      <c r="Q347" s="12"/>
      <c r="R347" s="12"/>
      <c r="S347" s="15"/>
    </row>
    <row r="348" ht="15" customHeight="1" s="4" customFormat="1">
      <c r="A348" s="15"/>
      <c r="B348" s="11"/>
      <c r="C348" s="11"/>
      <c r="D348" s="11"/>
      <c r="E348" s="11"/>
      <c r="F348" s="12"/>
      <c r="G348" s="11"/>
      <c r="H348" s="11"/>
      <c r="I348" s="11"/>
      <c r="J348" s="11"/>
      <c r="K348" s="11"/>
      <c r="L348" s="12"/>
      <c r="M348" s="11"/>
      <c r="N348" s="13"/>
      <c r="O348" s="11"/>
      <c r="P348" s="12"/>
      <c r="Q348" s="12"/>
      <c r="R348" s="12"/>
      <c r="S348" s="15"/>
    </row>
    <row r="349" ht="15" customHeight="1" s="4" customFormat="1">
      <c r="A349" s="15"/>
      <c r="B349" s="11"/>
      <c r="C349" s="11"/>
      <c r="D349" s="11"/>
      <c r="E349" s="11"/>
      <c r="F349" s="12"/>
      <c r="G349" s="11"/>
      <c r="H349" s="11"/>
      <c r="I349" s="11"/>
      <c r="J349" s="11"/>
      <c r="K349" s="11"/>
      <c r="L349" s="12"/>
      <c r="M349" s="11"/>
      <c r="N349" s="13"/>
      <c r="O349" s="11"/>
      <c r="P349" s="12"/>
      <c r="Q349" s="12"/>
      <c r="R349" s="12"/>
      <c r="S349" s="15"/>
    </row>
    <row r="350" ht="15" customHeight="1" s="4" customFormat="1">
      <c r="A350" s="15"/>
      <c r="B350" s="11"/>
      <c r="C350" s="11"/>
      <c r="D350" s="11"/>
      <c r="E350" s="11"/>
      <c r="F350" s="12"/>
      <c r="G350" s="11"/>
      <c r="H350" s="11"/>
      <c r="I350" s="11"/>
      <c r="J350" s="11"/>
      <c r="K350" s="11"/>
      <c r="L350" s="12"/>
      <c r="M350" s="11"/>
      <c r="N350" s="13"/>
      <c r="O350" s="11"/>
      <c r="P350" s="12"/>
      <c r="Q350" s="12"/>
      <c r="R350" s="12"/>
      <c r="S350" s="15"/>
    </row>
    <row r="351" ht="15" customHeight="1" s="4" customFormat="1">
      <c r="A351" s="15"/>
      <c r="B351" s="11"/>
      <c r="C351" s="11"/>
      <c r="D351" s="11"/>
      <c r="E351" s="11"/>
      <c r="F351" s="12"/>
      <c r="G351" s="11"/>
      <c r="H351" s="11"/>
      <c r="I351" s="11"/>
      <c r="J351" s="11"/>
      <c r="K351" s="11"/>
      <c r="L351" s="12"/>
      <c r="M351" s="11"/>
      <c r="N351" s="13"/>
      <c r="O351" s="11"/>
      <c r="P351" s="12"/>
      <c r="Q351" s="12"/>
      <c r="R351" s="12"/>
      <c r="S351" s="15"/>
    </row>
    <row r="352" ht="15" customHeight="1" s="4" customFormat="1">
      <c r="A352" s="15"/>
      <c r="B352" s="11"/>
      <c r="C352" s="11"/>
      <c r="D352" s="11"/>
      <c r="E352" s="11"/>
      <c r="F352" s="12"/>
      <c r="G352" s="11"/>
      <c r="H352" s="11"/>
      <c r="I352" s="11"/>
      <c r="J352" s="11"/>
      <c r="K352" s="11"/>
      <c r="L352" s="12"/>
      <c r="M352" s="11"/>
      <c r="N352" s="13"/>
      <c r="O352" s="11"/>
      <c r="P352" s="12"/>
      <c r="Q352" s="12"/>
      <c r="R352" s="12"/>
      <c r="S352" s="15"/>
    </row>
    <row r="353" ht="15" customHeight="1" s="4" customFormat="1">
      <c r="A353" s="15"/>
      <c r="B353" s="11"/>
      <c r="C353" s="11"/>
      <c r="D353" s="11"/>
      <c r="E353" s="11"/>
      <c r="F353" s="12"/>
      <c r="G353" s="11"/>
      <c r="H353" s="11"/>
      <c r="I353" s="11"/>
      <c r="J353" s="11"/>
      <c r="K353" s="11"/>
      <c r="L353" s="12"/>
      <c r="M353" s="11"/>
      <c r="N353" s="13"/>
      <c r="O353" s="11"/>
      <c r="P353" s="12"/>
      <c r="Q353" s="12"/>
      <c r="R353" s="12"/>
      <c r="S353" s="15"/>
    </row>
    <row r="354" ht="15" customHeight="1" s="4" customFormat="1">
      <c r="A354" s="15"/>
      <c r="B354" s="11"/>
      <c r="C354" s="11"/>
      <c r="D354" s="11"/>
      <c r="E354" s="11"/>
      <c r="F354" s="12"/>
      <c r="G354" s="11"/>
      <c r="H354" s="11"/>
      <c r="I354" s="11"/>
      <c r="J354" s="11"/>
      <c r="K354" s="11"/>
      <c r="L354" s="12"/>
      <c r="M354" s="11"/>
      <c r="N354" s="13"/>
      <c r="O354" s="11"/>
      <c r="P354" s="12"/>
      <c r="Q354" s="12"/>
      <c r="R354" s="12"/>
      <c r="S354" s="15"/>
    </row>
    <row r="355" ht="15" customHeight="1" s="4" customFormat="1">
      <c r="A355" s="15"/>
      <c r="B355" s="11"/>
      <c r="C355" s="11"/>
      <c r="D355" s="11"/>
      <c r="E355" s="11"/>
      <c r="F355" s="12"/>
      <c r="G355" s="11"/>
      <c r="H355" s="11"/>
      <c r="I355" s="11"/>
      <c r="J355" s="11"/>
      <c r="K355" s="11"/>
      <c r="L355" s="12"/>
      <c r="M355" s="11"/>
      <c r="N355" s="13"/>
      <c r="O355" s="11"/>
      <c r="P355" s="12"/>
      <c r="Q355" s="12"/>
      <c r="R355" s="12"/>
      <c r="S355" s="15"/>
    </row>
    <row r="356" ht="15" customHeight="1" s="4" customFormat="1">
      <c r="A356" s="15"/>
      <c r="B356" s="11"/>
      <c r="C356" s="11"/>
      <c r="D356" s="11"/>
      <c r="E356" s="11"/>
      <c r="F356" s="12"/>
      <c r="G356" s="11"/>
      <c r="H356" s="11"/>
      <c r="I356" s="11"/>
      <c r="J356" s="11"/>
      <c r="K356" s="11"/>
      <c r="L356" s="12"/>
      <c r="M356" s="11"/>
      <c r="N356" s="13"/>
      <c r="O356" s="11"/>
      <c r="P356" s="12"/>
      <c r="Q356" s="12"/>
      <c r="R356" s="12"/>
      <c r="S356" s="15"/>
    </row>
    <row r="357" ht="15" customHeight="1" s="4" customFormat="1">
      <c r="A357" s="15"/>
      <c r="B357" s="11"/>
      <c r="C357" s="11"/>
      <c r="D357" s="11"/>
      <c r="E357" s="11"/>
      <c r="F357" s="12"/>
      <c r="G357" s="11"/>
      <c r="H357" s="11"/>
      <c r="I357" s="11"/>
      <c r="J357" s="11"/>
      <c r="K357" s="11"/>
      <c r="L357" s="12"/>
      <c r="M357" s="11"/>
      <c r="N357" s="13"/>
      <c r="O357" s="11"/>
      <c r="P357" s="12"/>
      <c r="Q357" s="12"/>
      <c r="R357" s="12"/>
      <c r="S357" s="15"/>
    </row>
    <row r="358" ht="15" customHeight="1" s="4" customFormat="1">
      <c r="A358" s="15"/>
      <c r="B358" s="11"/>
      <c r="C358" s="11"/>
      <c r="D358" s="11"/>
      <c r="E358" s="11"/>
      <c r="F358" s="12"/>
      <c r="G358" s="11"/>
      <c r="H358" s="11"/>
      <c r="I358" s="11"/>
      <c r="J358" s="11"/>
      <c r="K358" s="11"/>
      <c r="L358" s="12"/>
      <c r="M358" s="11"/>
      <c r="N358" s="13"/>
      <c r="O358" s="11"/>
      <c r="P358" s="12"/>
      <c r="Q358" s="12"/>
      <c r="R358" s="12"/>
      <c r="S358" s="15"/>
    </row>
    <row r="359" ht="15" customHeight="1" s="4" customFormat="1">
      <c r="A359" s="15"/>
      <c r="B359" s="11"/>
      <c r="C359" s="11"/>
      <c r="D359" s="11"/>
      <c r="E359" s="11"/>
      <c r="F359" s="12"/>
      <c r="G359" s="11"/>
      <c r="H359" s="11"/>
      <c r="I359" s="11"/>
      <c r="J359" s="11"/>
      <c r="K359" s="11"/>
      <c r="L359" s="12"/>
      <c r="M359" s="11"/>
      <c r="N359" s="13"/>
      <c r="O359" s="11"/>
      <c r="P359" s="12"/>
      <c r="Q359" s="12"/>
      <c r="R359" s="12"/>
      <c r="S359" s="15"/>
    </row>
    <row r="360" ht="15" customHeight="1" s="4" customFormat="1">
      <c r="A360" s="15"/>
      <c r="B360" s="11"/>
      <c r="C360" s="11"/>
      <c r="D360" s="11"/>
      <c r="E360" s="11"/>
      <c r="F360" s="12"/>
      <c r="G360" s="11"/>
      <c r="H360" s="11"/>
      <c r="I360" s="11"/>
      <c r="J360" s="11"/>
      <c r="K360" s="11"/>
      <c r="L360" s="12"/>
      <c r="M360" s="11"/>
      <c r="N360" s="13"/>
      <c r="O360" s="11"/>
      <c r="P360" s="12"/>
      <c r="Q360" s="12"/>
      <c r="R360" s="12"/>
      <c r="S360" s="15"/>
    </row>
    <row r="361" ht="15" customHeight="1" s="4" customFormat="1">
      <c r="A361" s="15"/>
      <c r="B361" s="11"/>
      <c r="C361" s="11"/>
      <c r="D361" s="11"/>
      <c r="E361" s="11"/>
      <c r="F361" s="12"/>
      <c r="G361" s="11"/>
      <c r="H361" s="11"/>
      <c r="I361" s="11"/>
      <c r="J361" s="11"/>
      <c r="K361" s="11"/>
      <c r="L361" s="12"/>
      <c r="M361" s="11"/>
      <c r="N361" s="13"/>
      <c r="O361" s="11"/>
      <c r="P361" s="12"/>
      <c r="Q361" s="12"/>
      <c r="R361" s="12"/>
      <c r="S361" s="15"/>
    </row>
    <row r="362" ht="15" customHeight="1" s="4" customFormat="1">
      <c r="A362" s="15"/>
      <c r="B362" s="11"/>
      <c r="C362" s="11"/>
      <c r="D362" s="11"/>
      <c r="E362" s="11"/>
      <c r="F362" s="12"/>
      <c r="G362" s="11"/>
      <c r="H362" s="11"/>
      <c r="I362" s="11"/>
      <c r="J362" s="11"/>
      <c r="K362" s="11"/>
      <c r="L362" s="12"/>
      <c r="M362" s="11"/>
      <c r="N362" s="13"/>
      <c r="O362" s="11"/>
      <c r="P362" s="12"/>
      <c r="Q362" s="12"/>
      <c r="R362" s="12"/>
      <c r="S362" s="15"/>
    </row>
    <row r="363" ht="15" customHeight="1" s="4" customFormat="1">
      <c r="A363" s="15"/>
      <c r="B363" s="11"/>
      <c r="C363" s="11"/>
      <c r="D363" s="11"/>
      <c r="E363" s="11"/>
      <c r="F363" s="12"/>
      <c r="G363" s="11"/>
      <c r="H363" s="11"/>
      <c r="I363" s="11"/>
      <c r="J363" s="11"/>
      <c r="K363" s="11"/>
      <c r="L363" s="12"/>
      <c r="M363" s="11"/>
      <c r="N363" s="13"/>
      <c r="O363" s="11"/>
      <c r="P363" s="12"/>
      <c r="Q363" s="12"/>
      <c r="R363" s="12"/>
      <c r="S363" s="15"/>
    </row>
    <row r="364" ht="15" customHeight="1" s="4" customFormat="1">
      <c r="A364" s="15"/>
      <c r="B364" s="11"/>
      <c r="C364" s="11"/>
      <c r="D364" s="11"/>
      <c r="E364" s="11"/>
      <c r="F364" s="12"/>
      <c r="G364" s="11"/>
      <c r="H364" s="11"/>
      <c r="I364" s="11"/>
      <c r="J364" s="11"/>
      <c r="K364" s="11"/>
      <c r="L364" s="12"/>
      <c r="M364" s="11"/>
      <c r="N364" s="13"/>
      <c r="O364" s="11"/>
      <c r="P364" s="12"/>
      <c r="Q364" s="12"/>
      <c r="R364" s="12"/>
      <c r="S364" s="15"/>
    </row>
    <row r="365" ht="15" customHeight="1" s="4" customFormat="1">
      <c r="A365" s="15"/>
      <c r="B365" s="11"/>
      <c r="C365" s="11"/>
      <c r="D365" s="11"/>
      <c r="E365" s="11"/>
      <c r="F365" s="12"/>
      <c r="G365" s="11"/>
      <c r="H365" s="11"/>
      <c r="I365" s="11"/>
      <c r="J365" s="11"/>
      <c r="K365" s="11"/>
      <c r="L365" s="12"/>
      <c r="M365" s="11"/>
      <c r="N365" s="13"/>
      <c r="O365" s="11"/>
      <c r="P365" s="12"/>
      <c r="Q365" s="12"/>
      <c r="R365" s="12"/>
      <c r="S365" s="15"/>
    </row>
    <row r="366" ht="15" customHeight="1" s="4" customFormat="1">
      <c r="A366" s="15"/>
      <c r="B366" s="11"/>
      <c r="C366" s="11"/>
      <c r="D366" s="11"/>
      <c r="E366" s="11"/>
      <c r="F366" s="12"/>
      <c r="G366" s="11"/>
      <c r="H366" s="11"/>
      <c r="I366" s="11"/>
      <c r="J366" s="11"/>
      <c r="K366" s="11"/>
      <c r="L366" s="12"/>
      <c r="M366" s="11"/>
      <c r="N366" s="13"/>
      <c r="O366" s="11"/>
      <c r="P366" s="12"/>
      <c r="Q366" s="12"/>
      <c r="R366" s="12"/>
      <c r="S366" s="15"/>
    </row>
    <row r="367" ht="15" customHeight="1" s="4" customFormat="1">
      <c r="A367" s="15"/>
      <c r="B367" s="11"/>
      <c r="C367" s="11"/>
      <c r="D367" s="11"/>
      <c r="E367" s="11"/>
      <c r="F367" s="12"/>
      <c r="G367" s="11"/>
      <c r="H367" s="11"/>
      <c r="I367" s="11"/>
      <c r="J367" s="11"/>
      <c r="K367" s="11"/>
      <c r="L367" s="12"/>
      <c r="M367" s="11"/>
      <c r="N367" s="13"/>
      <c r="O367" s="11"/>
      <c r="P367" s="12"/>
      <c r="Q367" s="12"/>
      <c r="R367" s="12"/>
      <c r="S367" s="15"/>
    </row>
    <row r="368" ht="15" customHeight="1" s="4" customFormat="1">
      <c r="A368" s="15"/>
      <c r="B368" s="11"/>
      <c r="C368" s="11"/>
      <c r="D368" s="11"/>
      <c r="E368" s="11"/>
      <c r="F368" s="12"/>
      <c r="G368" s="11"/>
      <c r="H368" s="11"/>
      <c r="I368" s="11"/>
      <c r="J368" s="11"/>
      <c r="K368" s="11"/>
      <c r="L368" s="12"/>
      <c r="M368" s="11"/>
      <c r="N368" s="13"/>
      <c r="O368" s="11"/>
      <c r="P368" s="12"/>
      <c r="Q368" s="12"/>
      <c r="R368" s="12"/>
      <c r="S368" s="15"/>
    </row>
    <row r="369" ht="15" customHeight="1" s="4" customFormat="1">
      <c r="A369" s="15"/>
      <c r="B369" s="11"/>
      <c r="C369" s="11"/>
      <c r="D369" s="11"/>
      <c r="E369" s="11"/>
      <c r="F369" s="12"/>
      <c r="G369" s="11"/>
      <c r="H369" s="11"/>
      <c r="I369" s="11"/>
      <c r="J369" s="11"/>
      <c r="K369" s="11"/>
      <c r="L369" s="12"/>
      <c r="M369" s="11"/>
      <c r="N369" s="13"/>
      <c r="O369" s="11"/>
      <c r="P369" s="12"/>
      <c r="Q369" s="12"/>
      <c r="R369" s="12"/>
      <c r="S369" s="15"/>
    </row>
    <row r="370" ht="15" customHeight="1" s="4" customFormat="1">
      <c r="A370" s="15"/>
      <c r="B370" s="11"/>
      <c r="C370" s="11"/>
      <c r="D370" s="11"/>
      <c r="E370" s="11"/>
      <c r="F370" s="12"/>
      <c r="G370" s="11"/>
      <c r="H370" s="11"/>
      <c r="I370" s="11"/>
      <c r="J370" s="11"/>
      <c r="K370" s="11"/>
      <c r="L370" s="12"/>
      <c r="M370" s="11"/>
      <c r="N370" s="13"/>
      <c r="O370" s="11"/>
      <c r="P370" s="12"/>
      <c r="Q370" s="12"/>
      <c r="R370" s="12"/>
      <c r="S370" s="15"/>
    </row>
    <row r="371" ht="15" customHeight="1" s="4" customFormat="1">
      <c r="A371" s="15"/>
      <c r="B371" s="11"/>
      <c r="C371" s="11"/>
      <c r="D371" s="11"/>
      <c r="E371" s="11"/>
      <c r="F371" s="12"/>
      <c r="G371" s="11"/>
      <c r="H371" s="11"/>
      <c r="I371" s="11"/>
      <c r="J371" s="11"/>
      <c r="K371" s="11"/>
      <c r="L371" s="12"/>
      <c r="M371" s="11"/>
      <c r="N371" s="13"/>
      <c r="O371" s="11"/>
      <c r="P371" s="12"/>
      <c r="Q371" s="12"/>
      <c r="R371" s="12"/>
      <c r="S371" s="15"/>
    </row>
    <row r="372" ht="15" customHeight="1" s="4" customFormat="1">
      <c r="A372" s="15"/>
      <c r="B372" s="11"/>
      <c r="C372" s="11"/>
      <c r="D372" s="11"/>
      <c r="E372" s="11"/>
      <c r="F372" s="12"/>
      <c r="G372" s="11"/>
      <c r="H372" s="11"/>
      <c r="I372" s="11"/>
      <c r="J372" s="11"/>
      <c r="K372" s="11"/>
      <c r="L372" s="12"/>
      <c r="M372" s="11"/>
      <c r="N372" s="13"/>
      <c r="O372" s="11"/>
      <c r="P372" s="12"/>
      <c r="Q372" s="12"/>
      <c r="R372" s="12"/>
      <c r="S372" s="15"/>
    </row>
    <row r="373" ht="15" customHeight="1" s="4" customFormat="1">
      <c r="A373" s="15"/>
      <c r="B373" s="11"/>
      <c r="C373" s="11"/>
      <c r="D373" s="11"/>
      <c r="E373" s="11"/>
      <c r="F373" s="12"/>
      <c r="G373" s="11"/>
      <c r="H373" s="11"/>
      <c r="I373" s="11"/>
      <c r="J373" s="11"/>
      <c r="K373" s="11"/>
      <c r="L373" s="12"/>
      <c r="M373" s="11"/>
      <c r="N373" s="13"/>
      <c r="O373" s="11"/>
      <c r="P373" s="12"/>
      <c r="Q373" s="12"/>
      <c r="R373" s="12"/>
      <c r="S373" s="15"/>
    </row>
    <row r="374" ht="15" customHeight="1" s="4" customFormat="1">
      <c r="A374" s="15"/>
      <c r="B374" s="11"/>
      <c r="C374" s="11"/>
      <c r="D374" s="11"/>
      <c r="E374" s="11"/>
      <c r="F374" s="12"/>
      <c r="G374" s="11"/>
      <c r="H374" s="11"/>
      <c r="I374" s="11"/>
      <c r="J374" s="11"/>
      <c r="K374" s="11"/>
      <c r="L374" s="12"/>
      <c r="M374" s="11"/>
      <c r="N374" s="13"/>
      <c r="O374" s="11"/>
      <c r="P374" s="12"/>
      <c r="Q374" s="12"/>
      <c r="R374" s="12"/>
      <c r="S374" s="15"/>
    </row>
    <row r="375" ht="15" customHeight="1" s="4" customFormat="1">
      <c r="A375" s="15"/>
      <c r="B375" s="11"/>
      <c r="C375" s="11"/>
      <c r="D375" s="11"/>
      <c r="E375" s="11"/>
      <c r="F375" s="12"/>
      <c r="G375" s="11"/>
      <c r="H375" s="11"/>
      <c r="I375" s="11"/>
      <c r="J375" s="11"/>
      <c r="K375" s="11"/>
      <c r="L375" s="12"/>
      <c r="M375" s="11"/>
      <c r="N375" s="13"/>
      <c r="O375" s="11"/>
      <c r="P375" s="12"/>
      <c r="Q375" s="12"/>
      <c r="R375" s="12"/>
      <c r="S375" s="15"/>
    </row>
    <row r="376" ht="15" customHeight="1" s="4" customFormat="1">
      <c r="A376" s="15"/>
      <c r="B376" s="11"/>
      <c r="C376" s="11"/>
      <c r="D376" s="11"/>
      <c r="E376" s="11"/>
      <c r="F376" s="12"/>
      <c r="G376" s="11"/>
      <c r="H376" s="11"/>
      <c r="I376" s="11"/>
      <c r="J376" s="11"/>
      <c r="K376" s="11"/>
      <c r="L376" s="12"/>
      <c r="M376" s="11"/>
      <c r="N376" s="13"/>
      <c r="O376" s="11"/>
      <c r="P376" s="12"/>
      <c r="Q376" s="12"/>
      <c r="R376" s="12"/>
      <c r="S376" s="15"/>
    </row>
    <row r="377" ht="15" customHeight="1" s="4" customFormat="1">
      <c r="A377" s="15"/>
      <c r="B377" s="11"/>
      <c r="C377" s="11"/>
      <c r="D377" s="11"/>
      <c r="E377" s="11"/>
      <c r="F377" s="12"/>
      <c r="G377" s="11"/>
      <c r="H377" s="11"/>
      <c r="I377" s="11"/>
      <c r="J377" s="11"/>
      <c r="K377" s="11"/>
      <c r="L377" s="12"/>
      <c r="M377" s="11"/>
      <c r="N377" s="13"/>
      <c r="O377" s="11"/>
      <c r="P377" s="12"/>
      <c r="Q377" s="12"/>
      <c r="R377" s="12"/>
      <c r="S377" s="15"/>
    </row>
    <row r="378" ht="15" customHeight="1" s="4" customFormat="1">
      <c r="A378" s="15"/>
      <c r="B378" s="11"/>
      <c r="C378" s="11"/>
      <c r="D378" s="11"/>
      <c r="E378" s="11"/>
      <c r="F378" s="12"/>
      <c r="G378" s="11"/>
      <c r="H378" s="11"/>
      <c r="I378" s="11"/>
      <c r="J378" s="11"/>
      <c r="K378" s="11"/>
      <c r="L378" s="12"/>
      <c r="M378" s="11"/>
      <c r="N378" s="13"/>
      <c r="O378" s="11"/>
      <c r="P378" s="12"/>
      <c r="Q378" s="12"/>
      <c r="R378" s="12"/>
      <c r="S378" s="15"/>
    </row>
    <row r="379" ht="15" customHeight="1" s="4" customFormat="1">
      <c r="A379" s="15"/>
      <c r="B379" s="11"/>
      <c r="C379" s="11"/>
      <c r="D379" s="11"/>
      <c r="E379" s="11"/>
      <c r="F379" s="12"/>
      <c r="G379" s="11"/>
      <c r="H379" s="11"/>
      <c r="I379" s="11"/>
      <c r="J379" s="11"/>
      <c r="K379" s="11"/>
      <c r="L379" s="12"/>
      <c r="M379" s="11"/>
      <c r="N379" s="13"/>
      <c r="O379" s="11"/>
      <c r="P379" s="12"/>
      <c r="Q379" s="12"/>
      <c r="R379" s="12"/>
      <c r="S379" s="15"/>
    </row>
    <row r="380" ht="15" customHeight="1" s="4" customFormat="1">
      <c r="A380" s="15"/>
      <c r="B380" s="11"/>
      <c r="C380" s="11"/>
      <c r="D380" s="11"/>
      <c r="E380" s="11"/>
      <c r="F380" s="12"/>
      <c r="G380" s="11"/>
      <c r="H380" s="11"/>
      <c r="I380" s="11"/>
      <c r="J380" s="11"/>
      <c r="K380" s="11"/>
      <c r="L380" s="12"/>
      <c r="M380" s="11"/>
      <c r="N380" s="13"/>
      <c r="O380" s="11"/>
      <c r="P380" s="12"/>
      <c r="Q380" s="12"/>
      <c r="R380" s="12"/>
      <c r="S380" s="15"/>
    </row>
    <row r="381" ht="15" customHeight="1" s="4" customFormat="1">
      <c r="A381" s="15"/>
      <c r="B381" s="11"/>
      <c r="C381" s="11"/>
      <c r="D381" s="11"/>
      <c r="E381" s="11"/>
      <c r="F381" s="12"/>
      <c r="G381" s="11"/>
      <c r="H381" s="11"/>
      <c r="I381" s="11"/>
      <c r="J381" s="11"/>
      <c r="K381" s="11"/>
      <c r="L381" s="12"/>
      <c r="M381" s="11"/>
      <c r="N381" s="13"/>
      <c r="O381" s="11"/>
      <c r="P381" s="12"/>
      <c r="Q381" s="12"/>
      <c r="R381" s="12"/>
      <c r="S381" s="15"/>
    </row>
    <row r="382" ht="15" customHeight="1" s="4" customFormat="1">
      <c r="A382" s="15"/>
      <c r="B382" s="11"/>
      <c r="C382" s="11"/>
      <c r="D382" s="11"/>
      <c r="E382" s="11"/>
      <c r="F382" s="12"/>
      <c r="G382" s="11"/>
      <c r="H382" s="11"/>
      <c r="I382" s="11"/>
      <c r="J382" s="11"/>
      <c r="K382" s="11"/>
      <c r="L382" s="12"/>
      <c r="M382" s="11"/>
      <c r="N382" s="13"/>
      <c r="O382" s="11"/>
      <c r="P382" s="12"/>
      <c r="Q382" s="12"/>
      <c r="R382" s="12"/>
      <c r="S382" s="15"/>
    </row>
    <row r="383" ht="15" customHeight="1" s="4" customFormat="1">
      <c r="A383" s="15"/>
      <c r="B383" s="11"/>
      <c r="C383" s="11"/>
      <c r="D383" s="11"/>
      <c r="E383" s="11"/>
      <c r="F383" s="12"/>
      <c r="G383" s="11"/>
      <c r="H383" s="11"/>
      <c r="I383" s="11"/>
      <c r="J383" s="11"/>
      <c r="K383" s="11"/>
      <c r="L383" s="12"/>
      <c r="M383" s="11"/>
      <c r="N383" s="13"/>
      <c r="O383" s="11"/>
      <c r="P383" s="12"/>
      <c r="Q383" s="12"/>
      <c r="R383" s="12"/>
      <c r="S383" s="15"/>
    </row>
    <row r="384" ht="15" customHeight="1" s="4" customFormat="1">
      <c r="A384" s="15"/>
      <c r="B384" s="11"/>
      <c r="C384" s="11"/>
      <c r="D384" s="11"/>
      <c r="E384" s="11"/>
      <c r="F384" s="12"/>
      <c r="G384" s="11"/>
      <c r="H384" s="11"/>
      <c r="I384" s="11"/>
      <c r="J384" s="11"/>
      <c r="K384" s="11"/>
      <c r="L384" s="12"/>
      <c r="M384" s="11"/>
      <c r="N384" s="13"/>
      <c r="O384" s="11"/>
      <c r="P384" s="12"/>
      <c r="Q384" s="12"/>
      <c r="R384" s="12"/>
      <c r="S384" s="15"/>
    </row>
    <row r="385" ht="15" customHeight="1" s="4" customFormat="1">
      <c r="A385" s="15"/>
      <c r="B385" s="11"/>
      <c r="C385" s="11"/>
      <c r="D385" s="11"/>
      <c r="E385" s="11"/>
      <c r="F385" s="12"/>
      <c r="G385" s="11"/>
      <c r="H385" s="11"/>
      <c r="I385" s="11"/>
      <c r="J385" s="11"/>
      <c r="K385" s="11"/>
      <c r="L385" s="12"/>
      <c r="M385" s="11"/>
      <c r="N385" s="13"/>
      <c r="O385" s="11"/>
      <c r="P385" s="12"/>
      <c r="Q385" s="12"/>
      <c r="R385" s="12"/>
      <c r="S385" s="15"/>
    </row>
    <row r="386" ht="15" customHeight="1" s="4" customFormat="1">
      <c r="A386" s="15"/>
      <c r="B386" s="11"/>
      <c r="C386" s="11"/>
      <c r="D386" s="11"/>
      <c r="E386" s="11"/>
      <c r="F386" s="12"/>
      <c r="G386" s="11"/>
      <c r="H386" s="11"/>
      <c r="I386" s="11"/>
      <c r="J386" s="11"/>
      <c r="K386" s="11"/>
      <c r="L386" s="12"/>
      <c r="M386" s="11"/>
      <c r="N386" s="13"/>
      <c r="O386" s="11"/>
      <c r="P386" s="12"/>
      <c r="Q386" s="12"/>
      <c r="R386" s="12"/>
      <c r="S386" s="15"/>
    </row>
    <row r="387" ht="15" customHeight="1" s="4" customFormat="1">
      <c r="A387" s="15"/>
      <c r="B387" s="11"/>
      <c r="C387" s="11"/>
      <c r="D387" s="11"/>
      <c r="E387" s="11"/>
      <c r="F387" s="12"/>
      <c r="G387" s="11"/>
      <c r="H387" s="11"/>
      <c r="I387" s="11"/>
      <c r="J387" s="11"/>
      <c r="K387" s="11"/>
      <c r="L387" s="12"/>
      <c r="M387" s="11"/>
      <c r="N387" s="13"/>
      <c r="O387" s="11"/>
      <c r="P387" s="12"/>
      <c r="Q387" s="12"/>
      <c r="R387" s="12"/>
      <c r="S387" s="15"/>
    </row>
    <row r="388" ht="15" customHeight="1" s="4" customFormat="1">
      <c r="A388" s="15"/>
      <c r="B388" s="11"/>
      <c r="C388" s="11"/>
      <c r="D388" s="11"/>
      <c r="E388" s="11"/>
      <c r="F388" s="12"/>
      <c r="G388" s="11"/>
      <c r="H388" s="11"/>
      <c r="I388" s="11"/>
      <c r="J388" s="11"/>
      <c r="K388" s="11"/>
      <c r="L388" s="12"/>
      <c r="M388" s="11"/>
      <c r="N388" s="13"/>
      <c r="O388" s="11"/>
      <c r="P388" s="12"/>
      <c r="Q388" s="12"/>
      <c r="R388" s="12"/>
      <c r="S388" s="15"/>
    </row>
    <row r="389" ht="15" customHeight="1" s="4" customFormat="1">
      <c r="A389" s="15"/>
      <c r="B389" s="11"/>
      <c r="C389" s="11"/>
      <c r="D389" s="11"/>
      <c r="E389" s="11"/>
      <c r="F389" s="12"/>
      <c r="G389" s="11"/>
      <c r="H389" s="11"/>
      <c r="I389" s="11"/>
      <c r="J389" s="11"/>
      <c r="K389" s="11"/>
      <c r="L389" s="12"/>
      <c r="M389" s="11"/>
      <c r="N389" s="13"/>
      <c r="O389" s="11"/>
      <c r="P389" s="12"/>
      <c r="Q389" s="12"/>
      <c r="R389" s="12"/>
      <c r="S389" s="15"/>
    </row>
    <row r="390" ht="15" customHeight="1" s="4" customFormat="1">
      <c r="A390" s="15"/>
      <c r="B390" s="11"/>
      <c r="C390" s="11"/>
      <c r="D390" s="11"/>
      <c r="E390" s="11"/>
      <c r="F390" s="12"/>
      <c r="G390" s="11"/>
      <c r="H390" s="11"/>
      <c r="I390" s="11"/>
      <c r="J390" s="11"/>
      <c r="K390" s="11"/>
      <c r="L390" s="12"/>
      <c r="M390" s="11"/>
      <c r="N390" s="13"/>
      <c r="O390" s="11"/>
      <c r="P390" s="12"/>
      <c r="Q390" s="12"/>
      <c r="R390" s="12"/>
      <c r="S390" s="15"/>
    </row>
    <row r="391" ht="15" customHeight="1" s="4" customFormat="1">
      <c r="A391" s="15"/>
      <c r="B391" s="11"/>
      <c r="C391" s="11"/>
      <c r="D391" s="11"/>
      <c r="E391" s="11"/>
      <c r="F391" s="12"/>
      <c r="G391" s="11"/>
      <c r="H391" s="11"/>
      <c r="I391" s="11"/>
      <c r="J391" s="11"/>
      <c r="K391" s="11"/>
      <c r="L391" s="12"/>
      <c r="M391" s="11"/>
      <c r="N391" s="13"/>
      <c r="O391" s="11"/>
      <c r="P391" s="12"/>
      <c r="Q391" s="12"/>
      <c r="R391" s="12"/>
      <c r="S391" s="15"/>
    </row>
    <row r="392" ht="15" customHeight="1" s="4" customFormat="1">
      <c r="A392" s="15"/>
      <c r="B392" s="11"/>
      <c r="C392" s="11"/>
      <c r="D392" s="11"/>
      <c r="E392" s="11"/>
      <c r="F392" s="12"/>
      <c r="G392" s="11"/>
      <c r="H392" s="11"/>
      <c r="I392" s="11"/>
      <c r="J392" s="11"/>
      <c r="K392" s="11"/>
      <c r="L392" s="12"/>
      <c r="M392" s="11"/>
      <c r="N392" s="13"/>
      <c r="O392" s="11"/>
      <c r="P392" s="12"/>
      <c r="Q392" s="12"/>
      <c r="R392" s="12"/>
      <c r="S392" s="15"/>
    </row>
    <row r="393" ht="15" customHeight="1" s="4" customFormat="1">
      <c r="A393" s="15"/>
      <c r="B393" s="11"/>
      <c r="C393" s="11"/>
      <c r="D393" s="11"/>
      <c r="E393" s="11"/>
      <c r="F393" s="12"/>
      <c r="G393" s="11"/>
      <c r="H393" s="11"/>
      <c r="I393" s="11"/>
      <c r="J393" s="11"/>
      <c r="K393" s="11"/>
      <c r="L393" s="12"/>
      <c r="M393" s="11"/>
      <c r="N393" s="13"/>
      <c r="O393" s="11"/>
      <c r="P393" s="12"/>
      <c r="Q393" s="12"/>
      <c r="R393" s="12"/>
      <c r="S393" s="15"/>
    </row>
    <row r="394" ht="15" customHeight="1" s="4" customFormat="1">
      <c r="A394" s="15"/>
      <c r="B394" s="11"/>
      <c r="C394" s="11"/>
      <c r="D394" s="11"/>
      <c r="E394" s="11"/>
      <c r="F394" s="12"/>
      <c r="G394" s="11"/>
      <c r="H394" s="11"/>
      <c r="I394" s="11"/>
      <c r="J394" s="11"/>
      <c r="K394" s="11"/>
      <c r="L394" s="12"/>
      <c r="M394" s="11"/>
      <c r="N394" s="13"/>
      <c r="O394" s="11"/>
      <c r="P394" s="12"/>
      <c r="Q394" s="12"/>
      <c r="R394" s="12"/>
      <c r="S394" s="15"/>
    </row>
    <row r="395" ht="15" customHeight="1" s="4" customFormat="1">
      <c r="A395" s="15"/>
      <c r="B395" s="11"/>
      <c r="C395" s="11"/>
      <c r="D395" s="11"/>
      <c r="E395" s="11"/>
      <c r="F395" s="12"/>
      <c r="G395" s="11"/>
      <c r="H395" s="11"/>
      <c r="I395" s="11"/>
      <c r="J395" s="11"/>
      <c r="K395" s="11"/>
      <c r="L395" s="12"/>
      <c r="M395" s="11"/>
      <c r="N395" s="13"/>
      <c r="O395" s="11"/>
      <c r="P395" s="12"/>
      <c r="Q395" s="12"/>
      <c r="R395" s="12"/>
      <c r="S395" s="15"/>
    </row>
    <row r="396" ht="15" customHeight="1" s="4" customFormat="1">
      <c r="A396" s="15"/>
      <c r="B396" s="11"/>
      <c r="C396" s="11"/>
      <c r="D396" s="11"/>
      <c r="E396" s="11"/>
      <c r="F396" s="12"/>
      <c r="G396" s="11"/>
      <c r="H396" s="11"/>
      <c r="I396" s="11"/>
      <c r="J396" s="11"/>
      <c r="K396" s="11"/>
      <c r="L396" s="12"/>
      <c r="M396" s="11"/>
      <c r="N396" s="13"/>
      <c r="O396" s="11"/>
      <c r="P396" s="12"/>
      <c r="Q396" s="12"/>
      <c r="R396" s="12"/>
      <c r="S396" s="15"/>
    </row>
    <row r="397" ht="15" customHeight="1" s="4" customFormat="1">
      <c r="A397" s="15"/>
      <c r="B397" s="11"/>
      <c r="C397" s="11"/>
      <c r="D397" s="11"/>
      <c r="E397" s="11"/>
      <c r="F397" s="12"/>
      <c r="G397" s="11"/>
      <c r="H397" s="11"/>
      <c r="I397" s="11"/>
      <c r="J397" s="11"/>
      <c r="K397" s="11"/>
      <c r="L397" s="12"/>
      <c r="M397" s="11"/>
      <c r="N397" s="13"/>
      <c r="O397" s="11"/>
      <c r="P397" s="12"/>
      <c r="Q397" s="12"/>
      <c r="R397" s="12"/>
      <c r="S397" s="15"/>
    </row>
    <row r="398" ht="15" customHeight="1" s="4" customFormat="1">
      <c r="A398" s="15"/>
      <c r="B398" s="11"/>
      <c r="C398" s="11"/>
      <c r="D398" s="11"/>
      <c r="E398" s="11"/>
      <c r="F398" s="12"/>
      <c r="G398" s="11"/>
      <c r="H398" s="11"/>
      <c r="I398" s="11"/>
      <c r="J398" s="11"/>
      <c r="K398" s="11"/>
      <c r="L398" s="12"/>
      <c r="M398" s="11"/>
      <c r="N398" s="13"/>
      <c r="O398" s="11"/>
      <c r="P398" s="12"/>
      <c r="Q398" s="12"/>
      <c r="R398" s="12"/>
      <c r="S398" s="15"/>
    </row>
    <row r="399" ht="15" customHeight="1" s="4" customFormat="1">
      <c r="A399" s="15"/>
      <c r="B399" s="11"/>
      <c r="C399" s="11"/>
      <c r="D399" s="11"/>
      <c r="E399" s="11"/>
      <c r="F399" s="12"/>
      <c r="G399" s="11"/>
      <c r="H399" s="11"/>
      <c r="I399" s="11"/>
      <c r="J399" s="11"/>
      <c r="K399" s="11"/>
      <c r="L399" s="12"/>
      <c r="M399" s="11"/>
      <c r="N399" s="13"/>
      <c r="O399" s="11"/>
      <c r="P399" s="12"/>
      <c r="Q399" s="12"/>
      <c r="R399" s="12"/>
      <c r="S399" s="15"/>
    </row>
    <row r="400" ht="15" customHeight="1" s="4" customFormat="1">
      <c r="A400" s="15"/>
      <c r="B400" s="11"/>
      <c r="C400" s="11"/>
      <c r="D400" s="11"/>
      <c r="E400" s="11"/>
      <c r="F400" s="12"/>
      <c r="G400" s="11"/>
      <c r="H400" s="11"/>
      <c r="I400" s="11"/>
      <c r="J400" s="11"/>
      <c r="K400" s="11"/>
      <c r="L400" s="12"/>
      <c r="M400" s="11"/>
      <c r="N400" s="13"/>
      <c r="O400" s="11"/>
      <c r="P400" s="12"/>
      <c r="Q400" s="12"/>
      <c r="R400" s="12"/>
      <c r="S400" s="15"/>
    </row>
    <row r="401" ht="15" customHeight="1" s="4" customFormat="1">
      <c r="A401" s="15"/>
      <c r="B401" s="11"/>
      <c r="C401" s="11"/>
      <c r="D401" s="11"/>
      <c r="E401" s="11"/>
      <c r="F401" s="12"/>
      <c r="G401" s="11"/>
      <c r="H401" s="11"/>
      <c r="I401" s="11"/>
      <c r="J401" s="11"/>
      <c r="K401" s="11"/>
      <c r="L401" s="12"/>
      <c r="M401" s="11"/>
      <c r="N401" s="13"/>
      <c r="O401" s="11"/>
      <c r="P401" s="12"/>
      <c r="Q401" s="12"/>
      <c r="R401" s="12"/>
      <c r="S401" s="15"/>
    </row>
    <row r="402" ht="15" customHeight="1" s="4" customFormat="1">
      <c r="A402" s="15"/>
      <c r="B402" s="11"/>
      <c r="C402" s="11"/>
      <c r="D402" s="11"/>
      <c r="E402" s="11"/>
      <c r="F402" s="12"/>
      <c r="G402" s="11"/>
      <c r="H402" s="11"/>
      <c r="I402" s="11"/>
      <c r="J402" s="11"/>
      <c r="K402" s="11"/>
      <c r="L402" s="12"/>
      <c r="M402" s="11"/>
      <c r="N402" s="13"/>
      <c r="O402" s="11"/>
      <c r="P402" s="12"/>
      <c r="Q402" s="12"/>
      <c r="R402" s="12"/>
      <c r="S402" s="15"/>
    </row>
    <row r="403" ht="15" customHeight="1" s="4" customFormat="1">
      <c r="A403" s="15"/>
      <c r="B403" s="11"/>
      <c r="C403" s="11"/>
      <c r="D403" s="11"/>
      <c r="E403" s="11"/>
      <c r="F403" s="12"/>
      <c r="G403" s="11"/>
      <c r="H403" s="11"/>
      <c r="I403" s="11"/>
      <c r="J403" s="11"/>
      <c r="K403" s="11"/>
      <c r="L403" s="12"/>
      <c r="M403" s="11"/>
      <c r="N403" s="13"/>
      <c r="O403" s="11"/>
      <c r="P403" s="12"/>
      <c r="Q403" s="12"/>
      <c r="R403" s="12"/>
      <c r="S403" s="15"/>
    </row>
    <row r="404" ht="15" customHeight="1" s="4" customFormat="1">
      <c r="A404" s="15"/>
      <c r="B404" s="11"/>
      <c r="C404" s="11"/>
      <c r="D404" s="11"/>
      <c r="E404" s="11"/>
      <c r="F404" s="12"/>
      <c r="G404" s="11"/>
      <c r="H404" s="11"/>
      <c r="I404" s="11"/>
      <c r="J404" s="11"/>
      <c r="K404" s="11"/>
      <c r="L404" s="12"/>
      <c r="M404" s="11"/>
      <c r="N404" s="13"/>
      <c r="O404" s="11"/>
      <c r="P404" s="12"/>
      <c r="Q404" s="12"/>
      <c r="R404" s="12"/>
      <c r="S404" s="15"/>
    </row>
    <row r="405" ht="15" customHeight="1" s="4" customFormat="1">
      <c r="A405" s="15"/>
      <c r="B405" s="11"/>
      <c r="C405" s="11"/>
      <c r="D405" s="11"/>
      <c r="E405" s="11"/>
      <c r="F405" s="12"/>
      <c r="G405" s="11"/>
      <c r="H405" s="11"/>
      <c r="I405" s="11"/>
      <c r="J405" s="11"/>
      <c r="K405" s="11"/>
      <c r="L405" s="12"/>
      <c r="M405" s="11"/>
      <c r="N405" s="13"/>
      <c r="O405" s="11"/>
      <c r="P405" s="12"/>
      <c r="Q405" s="12"/>
      <c r="R405" s="12"/>
      <c r="S405" s="15"/>
    </row>
    <row r="406" ht="15" customHeight="1" s="4" customFormat="1">
      <c r="A406" s="15"/>
      <c r="B406" s="11"/>
      <c r="C406" s="11"/>
      <c r="D406" s="11"/>
      <c r="E406" s="11"/>
      <c r="F406" s="12"/>
      <c r="G406" s="11"/>
      <c r="H406" s="11"/>
      <c r="I406" s="11"/>
      <c r="J406" s="11"/>
      <c r="K406" s="11"/>
      <c r="L406" s="12"/>
      <c r="M406" s="11"/>
      <c r="N406" s="13"/>
      <c r="O406" s="11"/>
      <c r="P406" s="12"/>
      <c r="Q406" s="12"/>
      <c r="R406" s="12"/>
      <c r="S406" s="15"/>
    </row>
    <row r="407" ht="15" customHeight="1" s="4" customFormat="1">
      <c r="A407" s="15"/>
      <c r="B407" s="11"/>
      <c r="C407" s="11"/>
      <c r="D407" s="11"/>
      <c r="E407" s="11"/>
      <c r="F407" s="12"/>
      <c r="G407" s="11"/>
      <c r="H407" s="11"/>
      <c r="I407" s="11"/>
      <c r="J407" s="11"/>
      <c r="K407" s="11"/>
      <c r="L407" s="12"/>
      <c r="M407" s="11"/>
      <c r="N407" s="13"/>
      <c r="O407" s="11"/>
      <c r="P407" s="12"/>
      <c r="Q407" s="12"/>
      <c r="R407" s="12"/>
      <c r="S407" s="15"/>
    </row>
    <row r="408" ht="15" customHeight="1" s="4" customFormat="1">
      <c r="A408" s="15"/>
      <c r="B408" s="11"/>
      <c r="C408" s="11"/>
      <c r="D408" s="11"/>
      <c r="E408" s="11"/>
      <c r="F408" s="12"/>
      <c r="G408" s="11"/>
      <c r="H408" s="11"/>
      <c r="I408" s="11"/>
      <c r="J408" s="11"/>
      <c r="K408" s="11"/>
      <c r="L408" s="12"/>
      <c r="M408" s="11"/>
      <c r="N408" s="13"/>
      <c r="O408" s="11"/>
      <c r="P408" s="12"/>
      <c r="Q408" s="12"/>
      <c r="R408" s="12"/>
      <c r="S408" s="15"/>
    </row>
    <row r="409" ht="15" customHeight="1" s="4" customFormat="1">
      <c r="A409" s="15"/>
      <c r="B409" s="11"/>
      <c r="C409" s="11"/>
      <c r="D409" s="11"/>
      <c r="E409" s="11"/>
      <c r="F409" s="12"/>
      <c r="G409" s="11"/>
      <c r="H409" s="11"/>
      <c r="I409" s="11"/>
      <c r="J409" s="11"/>
      <c r="K409" s="11"/>
      <c r="L409" s="12"/>
      <c r="M409" s="11"/>
      <c r="N409" s="13"/>
      <c r="O409" s="11"/>
      <c r="P409" s="12"/>
      <c r="Q409" s="12"/>
      <c r="R409" s="12"/>
      <c r="S409" s="15"/>
    </row>
    <row r="410" ht="15" customHeight="1" s="4" customFormat="1">
      <c r="A410" s="15"/>
      <c r="B410" s="11"/>
      <c r="C410" s="11"/>
      <c r="D410" s="11"/>
      <c r="E410" s="11"/>
      <c r="F410" s="12"/>
      <c r="G410" s="11"/>
      <c r="H410" s="11"/>
      <c r="I410" s="11"/>
      <c r="J410" s="11"/>
      <c r="K410" s="11"/>
      <c r="L410" s="12"/>
      <c r="M410" s="11"/>
      <c r="N410" s="13"/>
      <c r="O410" s="11"/>
      <c r="P410" s="12"/>
      <c r="Q410" s="12"/>
      <c r="R410" s="12"/>
      <c r="S410" s="15"/>
    </row>
    <row r="411" ht="15" customHeight="1" s="4" customFormat="1">
      <c r="A411" s="15"/>
      <c r="B411" s="11"/>
      <c r="C411" s="11"/>
      <c r="D411" s="11"/>
      <c r="E411" s="11"/>
      <c r="F411" s="12"/>
      <c r="G411" s="11"/>
      <c r="H411" s="11"/>
      <c r="I411" s="11"/>
      <c r="J411" s="11"/>
      <c r="K411" s="11"/>
      <c r="L411" s="12"/>
      <c r="M411" s="11"/>
      <c r="N411" s="13"/>
      <c r="O411" s="11"/>
      <c r="P411" s="12"/>
      <c r="Q411" s="12"/>
      <c r="R411" s="12"/>
      <c r="S411" s="15"/>
    </row>
    <row r="412" ht="15" customHeight="1" s="4" customFormat="1">
      <c r="A412" s="15"/>
      <c r="B412" s="11"/>
      <c r="C412" s="11"/>
      <c r="D412" s="11"/>
      <c r="E412" s="11"/>
      <c r="F412" s="12"/>
      <c r="G412" s="11"/>
      <c r="H412" s="11"/>
      <c r="I412" s="11"/>
      <c r="J412" s="11"/>
      <c r="K412" s="11"/>
      <c r="L412" s="12"/>
      <c r="M412" s="11"/>
      <c r="N412" s="13"/>
      <c r="O412" s="11"/>
      <c r="P412" s="12"/>
      <c r="Q412" s="12"/>
      <c r="R412" s="12"/>
      <c r="S412" s="15"/>
    </row>
    <row r="413" ht="15" customHeight="1" s="4" customFormat="1">
      <c r="A413" s="15"/>
      <c r="B413" s="11"/>
      <c r="C413" s="11"/>
      <c r="D413" s="11"/>
      <c r="E413" s="11"/>
      <c r="F413" s="12"/>
      <c r="G413" s="11"/>
      <c r="H413" s="11"/>
      <c r="I413" s="11"/>
      <c r="J413" s="11"/>
      <c r="K413" s="11"/>
      <c r="L413" s="12"/>
      <c r="M413" s="11"/>
      <c r="N413" s="13"/>
      <c r="O413" s="11"/>
      <c r="P413" s="12"/>
      <c r="Q413" s="12"/>
      <c r="R413" s="12"/>
      <c r="S413" s="15"/>
    </row>
    <row r="414" ht="15" customHeight="1" s="4" customFormat="1">
      <c r="A414" s="15"/>
      <c r="B414" s="11"/>
      <c r="C414" s="11"/>
      <c r="D414" s="11"/>
      <c r="E414" s="11"/>
      <c r="F414" s="12"/>
      <c r="G414" s="11"/>
      <c r="H414" s="11"/>
      <c r="I414" s="11"/>
      <c r="J414" s="11"/>
      <c r="K414" s="11"/>
      <c r="L414" s="12"/>
      <c r="M414" s="11"/>
      <c r="N414" s="13"/>
      <c r="O414" s="11"/>
      <c r="P414" s="12"/>
      <c r="Q414" s="12"/>
      <c r="R414" s="12"/>
      <c r="S414" s="15"/>
    </row>
    <row r="415" ht="15" customHeight="1" s="4" customFormat="1">
      <c r="A415" s="15"/>
      <c r="B415" s="11"/>
      <c r="C415" s="11"/>
      <c r="D415" s="11"/>
      <c r="E415" s="11"/>
      <c r="F415" s="12"/>
      <c r="G415" s="11"/>
      <c r="H415" s="11"/>
      <c r="I415" s="11"/>
      <c r="J415" s="11"/>
      <c r="K415" s="11"/>
      <c r="L415" s="12"/>
      <c r="M415" s="11"/>
      <c r="N415" s="13"/>
      <c r="O415" s="11"/>
      <c r="P415" s="12"/>
      <c r="Q415" s="12"/>
      <c r="R415" s="12"/>
      <c r="S415" s="15"/>
    </row>
    <row r="416" ht="15" customHeight="1" s="4" customFormat="1">
      <c r="A416" s="15"/>
      <c r="B416" s="11"/>
      <c r="C416" s="11"/>
      <c r="D416" s="11"/>
      <c r="E416" s="11"/>
      <c r="F416" s="12"/>
      <c r="G416" s="11"/>
      <c r="H416" s="11"/>
      <c r="I416" s="11"/>
      <c r="J416" s="11"/>
      <c r="K416" s="11"/>
      <c r="L416" s="12"/>
      <c r="M416" s="11"/>
      <c r="N416" s="13"/>
      <c r="O416" s="11"/>
      <c r="P416" s="12"/>
      <c r="Q416" s="12"/>
      <c r="R416" s="12"/>
      <c r="S416" s="15"/>
    </row>
    <row r="417" ht="15" customHeight="1" s="4" customFormat="1">
      <c r="A417" s="15"/>
      <c r="B417" s="11"/>
      <c r="C417" s="11"/>
      <c r="D417" s="11"/>
      <c r="E417" s="11"/>
      <c r="F417" s="12"/>
      <c r="G417" s="11"/>
      <c r="H417" s="11"/>
      <c r="I417" s="11"/>
      <c r="J417" s="11"/>
      <c r="K417" s="11"/>
      <c r="L417" s="12"/>
      <c r="M417" s="11"/>
      <c r="N417" s="13"/>
      <c r="O417" s="11"/>
      <c r="P417" s="12"/>
      <c r="Q417" s="12"/>
      <c r="R417" s="12"/>
      <c r="S417" s="15"/>
    </row>
    <row r="418" ht="15" customHeight="1" s="4" customFormat="1">
      <c r="A418" s="15"/>
      <c r="B418" s="11"/>
      <c r="C418" s="11"/>
      <c r="D418" s="11"/>
      <c r="E418" s="11"/>
      <c r="F418" s="12"/>
      <c r="G418" s="11"/>
      <c r="H418" s="11"/>
      <c r="I418" s="11"/>
      <c r="J418" s="11"/>
      <c r="K418" s="11"/>
      <c r="L418" s="12"/>
      <c r="M418" s="11"/>
      <c r="N418" s="13"/>
      <c r="O418" s="11"/>
      <c r="P418" s="12"/>
      <c r="Q418" s="12"/>
      <c r="R418" s="12"/>
      <c r="S418" s="15"/>
    </row>
    <row r="419" ht="15" customHeight="1" s="4" customFormat="1">
      <c r="A419" s="15"/>
      <c r="B419" s="11"/>
      <c r="C419" s="11"/>
      <c r="D419" s="11"/>
      <c r="E419" s="11"/>
      <c r="F419" s="12"/>
      <c r="G419" s="11"/>
      <c r="H419" s="11"/>
      <c r="I419" s="11"/>
      <c r="J419" s="11"/>
      <c r="K419" s="11"/>
      <c r="L419" s="12"/>
      <c r="M419" s="11"/>
      <c r="N419" s="13"/>
      <c r="O419" s="11"/>
      <c r="P419" s="12"/>
      <c r="Q419" s="12"/>
      <c r="R419" s="12"/>
      <c r="S419" s="15"/>
    </row>
    <row r="420" ht="15" customHeight="1" s="4" customFormat="1">
      <c r="A420" s="15"/>
      <c r="B420" s="11"/>
      <c r="C420" s="11"/>
      <c r="D420" s="11"/>
      <c r="E420" s="11"/>
      <c r="F420" s="12"/>
      <c r="G420" s="11"/>
      <c r="H420" s="11"/>
      <c r="I420" s="11"/>
      <c r="J420" s="11"/>
      <c r="K420" s="11"/>
      <c r="L420" s="12"/>
      <c r="M420" s="11"/>
      <c r="N420" s="13"/>
      <c r="O420" s="11"/>
      <c r="P420" s="12"/>
      <c r="Q420" s="12"/>
      <c r="R420" s="12"/>
      <c r="S420" s="15"/>
    </row>
    <row r="421" ht="15" customHeight="1" s="4" customFormat="1">
      <c r="A421" s="15"/>
      <c r="B421" s="11"/>
      <c r="C421" s="11"/>
      <c r="D421" s="11"/>
      <c r="E421" s="11"/>
      <c r="F421" s="12"/>
      <c r="G421" s="11"/>
      <c r="H421" s="11"/>
      <c r="I421" s="11"/>
      <c r="J421" s="11"/>
      <c r="K421" s="11"/>
      <c r="L421" s="12"/>
      <c r="M421" s="11"/>
      <c r="N421" s="13"/>
      <c r="O421" s="11"/>
      <c r="P421" s="12"/>
      <c r="Q421" s="12"/>
      <c r="R421" s="12"/>
      <c r="S421" s="15"/>
    </row>
    <row r="422" ht="15" customHeight="1" s="4" customFormat="1">
      <c r="A422" s="15"/>
      <c r="B422" s="11"/>
      <c r="C422" s="11"/>
      <c r="D422" s="11"/>
      <c r="E422" s="11"/>
      <c r="F422" s="12"/>
      <c r="G422" s="11"/>
      <c r="H422" s="11"/>
      <c r="I422" s="11"/>
      <c r="J422" s="11"/>
      <c r="K422" s="11"/>
      <c r="L422" s="12"/>
      <c r="M422" s="11"/>
      <c r="N422" s="13"/>
      <c r="O422" s="11"/>
      <c r="P422" s="12"/>
      <c r="Q422" s="12"/>
      <c r="R422" s="12"/>
      <c r="S422" s="15"/>
    </row>
    <row r="423" ht="15" customHeight="1" s="4" customFormat="1">
      <c r="A423" s="15"/>
      <c r="B423" s="11"/>
      <c r="C423" s="11"/>
      <c r="D423" s="11"/>
      <c r="E423" s="11"/>
      <c r="F423" s="12"/>
      <c r="G423" s="11"/>
      <c r="H423" s="11"/>
      <c r="I423" s="11"/>
      <c r="J423" s="11"/>
      <c r="K423" s="11"/>
      <c r="L423" s="12"/>
      <c r="M423" s="11"/>
      <c r="N423" s="13"/>
      <c r="O423" s="11"/>
      <c r="P423" s="12"/>
      <c r="Q423" s="12"/>
      <c r="R423" s="12"/>
      <c r="S423" s="15"/>
    </row>
    <row r="424" ht="15" customHeight="1" s="4" customFormat="1">
      <c r="A424" s="15"/>
      <c r="B424" s="11"/>
      <c r="C424" s="11"/>
      <c r="D424" s="11"/>
      <c r="E424" s="11"/>
      <c r="F424" s="12"/>
      <c r="G424" s="11"/>
      <c r="H424" s="11"/>
      <c r="I424" s="11"/>
      <c r="J424" s="11"/>
      <c r="K424" s="11"/>
      <c r="L424" s="12"/>
      <c r="M424" s="11"/>
      <c r="N424" s="13"/>
      <c r="O424" s="11"/>
      <c r="P424" s="12"/>
      <c r="Q424" s="12"/>
      <c r="R424" s="12"/>
      <c r="S424" s="15"/>
    </row>
    <row r="425" ht="15" customHeight="1" s="4" customFormat="1">
      <c r="A425" s="15"/>
      <c r="B425" s="11"/>
      <c r="C425" s="11"/>
      <c r="D425" s="11"/>
      <c r="E425" s="11"/>
      <c r="F425" s="12"/>
      <c r="G425" s="11"/>
      <c r="H425" s="11"/>
      <c r="I425" s="11"/>
      <c r="J425" s="11"/>
      <c r="K425" s="11"/>
      <c r="L425" s="12"/>
      <c r="M425" s="11"/>
      <c r="N425" s="13"/>
      <c r="O425" s="11"/>
      <c r="P425" s="12"/>
      <c r="Q425" s="12"/>
      <c r="R425" s="12"/>
      <c r="S425" s="15"/>
    </row>
    <row r="426" ht="15" customHeight="1" s="4" customFormat="1">
      <c r="A426" s="15"/>
      <c r="B426" s="11"/>
      <c r="C426" s="11"/>
      <c r="D426" s="11"/>
      <c r="E426" s="11"/>
      <c r="F426" s="12"/>
      <c r="G426" s="11"/>
      <c r="H426" s="11"/>
      <c r="I426" s="11"/>
      <c r="J426" s="11"/>
      <c r="K426" s="11"/>
      <c r="L426" s="12"/>
      <c r="M426" s="11"/>
      <c r="N426" s="13"/>
      <c r="O426" s="11"/>
      <c r="P426" s="12"/>
      <c r="Q426" s="12"/>
      <c r="R426" s="12"/>
      <c r="S426" s="15"/>
    </row>
    <row r="427" ht="15" customHeight="1" s="4" customFormat="1">
      <c r="A427" s="15"/>
      <c r="B427" s="11"/>
      <c r="C427" s="11"/>
      <c r="D427" s="11"/>
      <c r="E427" s="11"/>
      <c r="F427" s="12"/>
      <c r="G427" s="11"/>
      <c r="H427" s="11"/>
      <c r="I427" s="11"/>
      <c r="J427" s="11"/>
      <c r="K427" s="11"/>
      <c r="L427" s="12"/>
      <c r="M427" s="11"/>
      <c r="N427" s="13"/>
      <c r="O427" s="11"/>
      <c r="P427" s="12"/>
      <c r="Q427" s="12"/>
      <c r="R427" s="12"/>
      <c r="S427" s="15"/>
    </row>
    <row r="428" ht="15" customHeight="1" s="4" customFormat="1">
      <c r="A428" s="15"/>
      <c r="B428" s="11"/>
      <c r="C428" s="11"/>
      <c r="D428" s="11"/>
      <c r="E428" s="11"/>
      <c r="F428" s="12"/>
      <c r="G428" s="11"/>
      <c r="H428" s="11"/>
      <c r="I428" s="11"/>
      <c r="J428" s="11"/>
      <c r="K428" s="11"/>
      <c r="L428" s="12"/>
      <c r="M428" s="11"/>
      <c r="N428" s="13"/>
      <c r="O428" s="11"/>
      <c r="P428" s="12"/>
      <c r="Q428" s="12"/>
      <c r="R428" s="12"/>
      <c r="S428" s="15"/>
    </row>
    <row r="429" ht="15" customHeight="1" s="4" customFormat="1">
      <c r="A429" s="15"/>
      <c r="B429" s="11"/>
      <c r="C429" s="11"/>
      <c r="D429" s="11"/>
      <c r="E429" s="11"/>
      <c r="F429" s="12"/>
      <c r="G429" s="11"/>
      <c r="H429" s="11"/>
      <c r="I429" s="11"/>
      <c r="J429" s="11"/>
      <c r="K429" s="11"/>
      <c r="L429" s="12"/>
      <c r="M429" s="11"/>
      <c r="N429" s="13"/>
      <c r="O429" s="11"/>
      <c r="P429" s="12"/>
      <c r="Q429" s="12"/>
      <c r="R429" s="12"/>
      <c r="S429" s="15"/>
    </row>
    <row r="430" ht="15" customHeight="1" s="4" customFormat="1">
      <c r="A430" s="15"/>
      <c r="B430" s="11"/>
      <c r="C430" s="11"/>
      <c r="D430" s="11"/>
      <c r="E430" s="11"/>
      <c r="F430" s="12"/>
      <c r="G430" s="11"/>
      <c r="H430" s="11"/>
      <c r="I430" s="11"/>
      <c r="J430" s="11"/>
      <c r="K430" s="11"/>
      <c r="L430" s="12"/>
      <c r="M430" s="11"/>
      <c r="N430" s="13"/>
      <c r="O430" s="11"/>
      <c r="P430" s="12"/>
      <c r="Q430" s="12"/>
      <c r="R430" s="12"/>
      <c r="S430" s="15"/>
    </row>
    <row r="431" ht="15" customHeight="1" s="4" customFormat="1">
      <c r="A431" s="15"/>
      <c r="B431" s="11"/>
      <c r="C431" s="11"/>
      <c r="D431" s="11"/>
      <c r="E431" s="11"/>
      <c r="F431" s="12"/>
      <c r="G431" s="11"/>
      <c r="H431" s="11"/>
      <c r="I431" s="11"/>
      <c r="J431" s="11"/>
      <c r="K431" s="11"/>
      <c r="L431" s="12"/>
      <c r="M431" s="11"/>
      <c r="N431" s="13"/>
      <c r="O431" s="11"/>
      <c r="P431" s="12"/>
      <c r="Q431" s="12"/>
      <c r="R431" s="12"/>
      <c r="S431" s="15"/>
    </row>
    <row r="432" ht="15" customHeight="1" s="4" customFormat="1">
      <c r="A432" s="15"/>
      <c r="B432" s="11"/>
      <c r="C432" s="11"/>
      <c r="D432" s="11"/>
      <c r="E432" s="11"/>
      <c r="F432" s="12"/>
      <c r="G432" s="11"/>
      <c r="H432" s="11"/>
      <c r="I432" s="11"/>
      <c r="J432" s="11"/>
      <c r="K432" s="11"/>
      <c r="L432" s="12"/>
      <c r="M432" s="11"/>
      <c r="N432" s="13"/>
      <c r="O432" s="11"/>
      <c r="P432" s="12"/>
      <c r="Q432" s="12"/>
      <c r="R432" s="12"/>
      <c r="S432" s="15"/>
    </row>
    <row r="433" ht="15" customHeight="1" s="4" customFormat="1">
      <c r="A433" s="15"/>
      <c r="B433" s="11"/>
      <c r="C433" s="11"/>
      <c r="D433" s="11"/>
      <c r="E433" s="11"/>
      <c r="F433" s="12"/>
      <c r="G433" s="11"/>
      <c r="H433" s="11"/>
      <c r="I433" s="11"/>
      <c r="J433" s="11"/>
      <c r="K433" s="11"/>
      <c r="L433" s="12"/>
      <c r="M433" s="11"/>
      <c r="N433" s="13"/>
      <c r="O433" s="11"/>
      <c r="P433" s="12"/>
      <c r="Q433" s="12"/>
      <c r="R433" s="12"/>
      <c r="S433" s="15"/>
    </row>
    <row r="434" ht="15" customHeight="1" s="4" customFormat="1">
      <c r="A434" s="15"/>
      <c r="B434" s="11"/>
      <c r="C434" s="11"/>
      <c r="D434" s="11"/>
      <c r="E434" s="11"/>
      <c r="F434" s="12"/>
      <c r="G434" s="11"/>
      <c r="H434" s="11"/>
      <c r="I434" s="11"/>
      <c r="J434" s="11"/>
      <c r="K434" s="11"/>
      <c r="L434" s="12"/>
      <c r="M434" s="11"/>
      <c r="N434" s="13"/>
      <c r="O434" s="11"/>
      <c r="P434" s="12"/>
      <c r="Q434" s="12"/>
      <c r="R434" s="12"/>
      <c r="S434" s="15"/>
    </row>
    <row r="435" ht="15" customHeight="1" s="4" customFormat="1">
      <c r="A435" s="15"/>
      <c r="B435" s="11"/>
      <c r="C435" s="11"/>
      <c r="D435" s="11"/>
      <c r="E435" s="11"/>
      <c r="F435" s="12"/>
      <c r="G435" s="11"/>
      <c r="H435" s="11"/>
      <c r="I435" s="11"/>
      <c r="J435" s="11"/>
      <c r="K435" s="11"/>
      <c r="L435" s="12"/>
      <c r="M435" s="11"/>
      <c r="N435" s="13"/>
      <c r="O435" s="11"/>
      <c r="P435" s="12"/>
      <c r="Q435" s="12"/>
      <c r="R435" s="12"/>
      <c r="S435" s="15"/>
    </row>
    <row r="436" ht="15" customHeight="1" s="4" customFormat="1">
      <c r="A436" s="15"/>
      <c r="B436" s="11"/>
      <c r="C436" s="11"/>
      <c r="D436" s="11"/>
      <c r="E436" s="11"/>
      <c r="F436" s="12"/>
      <c r="G436" s="11"/>
      <c r="H436" s="11"/>
      <c r="I436" s="11"/>
      <c r="J436" s="11"/>
      <c r="K436" s="11"/>
      <c r="L436" s="12"/>
      <c r="M436" s="11"/>
      <c r="N436" s="13"/>
      <c r="O436" s="11"/>
      <c r="P436" s="12"/>
      <c r="Q436" s="12"/>
      <c r="R436" s="12"/>
      <c r="S436" s="15"/>
    </row>
    <row r="437" ht="15" customHeight="1" s="4" customFormat="1">
      <c r="A437" s="15"/>
      <c r="B437" s="11"/>
      <c r="C437" s="11"/>
      <c r="D437" s="11"/>
      <c r="E437" s="11"/>
      <c r="F437" s="12"/>
      <c r="G437" s="11"/>
      <c r="H437" s="11"/>
      <c r="I437" s="11"/>
      <c r="J437" s="11"/>
      <c r="K437" s="11"/>
      <c r="L437" s="12"/>
      <c r="M437" s="11"/>
      <c r="N437" s="13"/>
      <c r="O437" s="11"/>
      <c r="P437" s="12"/>
      <c r="Q437" s="12"/>
      <c r="R437" s="12"/>
      <c r="S437" s="15"/>
    </row>
    <row r="438" ht="15" customHeight="1" s="4" customFormat="1">
      <c r="A438" s="15"/>
      <c r="B438" s="11"/>
      <c r="C438" s="11"/>
      <c r="D438" s="11"/>
      <c r="E438" s="11"/>
      <c r="F438" s="12"/>
      <c r="G438" s="11"/>
      <c r="H438" s="11"/>
      <c r="I438" s="11"/>
      <c r="J438" s="11"/>
      <c r="K438" s="11"/>
      <c r="L438" s="12"/>
      <c r="M438" s="11"/>
      <c r="N438" s="13"/>
      <c r="O438" s="11"/>
      <c r="P438" s="12"/>
      <c r="Q438" s="12"/>
      <c r="R438" s="12"/>
      <c r="S438" s="15"/>
    </row>
    <row r="439" ht="15" customHeight="1" s="4" customFormat="1">
      <c r="A439" s="15"/>
      <c r="B439" s="11"/>
      <c r="C439" s="11"/>
      <c r="D439" s="11"/>
      <c r="E439" s="11"/>
      <c r="F439" s="12"/>
      <c r="G439" s="11"/>
      <c r="H439" s="11"/>
      <c r="I439" s="11"/>
      <c r="J439" s="11"/>
      <c r="K439" s="11"/>
      <c r="L439" s="12"/>
      <c r="M439" s="11"/>
      <c r="N439" s="13"/>
      <c r="O439" s="11"/>
      <c r="P439" s="12"/>
      <c r="Q439" s="12"/>
      <c r="R439" s="12"/>
      <c r="S439" s="15"/>
    </row>
    <row r="440" ht="15" customHeight="1" s="4" customFormat="1">
      <c r="A440" s="15"/>
      <c r="B440" s="11"/>
      <c r="C440" s="11"/>
      <c r="D440" s="11"/>
      <c r="E440" s="11"/>
      <c r="F440" s="12"/>
      <c r="G440" s="11"/>
      <c r="H440" s="11"/>
      <c r="I440" s="11"/>
      <c r="J440" s="11"/>
      <c r="K440" s="11"/>
      <c r="L440" s="12"/>
      <c r="M440" s="11"/>
      <c r="N440" s="13"/>
      <c r="O440" s="11"/>
      <c r="P440" s="12"/>
      <c r="Q440" s="12"/>
      <c r="R440" s="12"/>
      <c r="S440" s="15"/>
    </row>
    <row r="441" ht="15" customHeight="1" s="4" customFormat="1">
      <c r="A441" s="15"/>
      <c r="B441" s="11"/>
      <c r="C441" s="11"/>
      <c r="D441" s="11"/>
      <c r="E441" s="11"/>
      <c r="F441" s="12"/>
      <c r="G441" s="11"/>
      <c r="H441" s="11"/>
      <c r="I441" s="11"/>
      <c r="J441" s="11"/>
      <c r="K441" s="11"/>
      <c r="L441" s="12"/>
      <c r="M441" s="11"/>
      <c r="N441" s="13"/>
      <c r="O441" s="11"/>
      <c r="P441" s="12"/>
      <c r="Q441" s="12"/>
      <c r="R441" s="12"/>
      <c r="S441" s="15"/>
    </row>
    <row r="442" ht="15" customHeight="1" s="4" customFormat="1">
      <c r="A442" s="15"/>
      <c r="B442" s="11"/>
      <c r="C442" s="11"/>
      <c r="D442" s="11"/>
      <c r="E442" s="11"/>
      <c r="F442" s="12"/>
      <c r="G442" s="11"/>
      <c r="H442" s="11"/>
      <c r="I442" s="11"/>
      <c r="J442" s="11"/>
      <c r="K442" s="11"/>
      <c r="L442" s="12"/>
      <c r="M442" s="11"/>
      <c r="N442" s="13"/>
      <c r="O442" s="11"/>
      <c r="P442" s="12"/>
      <c r="Q442" s="12"/>
      <c r="R442" s="12"/>
      <c r="S442" s="15"/>
    </row>
    <row r="443" ht="15" customHeight="1" s="4" customFormat="1">
      <c r="A443" s="15"/>
      <c r="B443" s="11"/>
      <c r="C443" s="11"/>
      <c r="D443" s="11"/>
      <c r="E443" s="11"/>
      <c r="F443" s="12"/>
      <c r="G443" s="11"/>
      <c r="H443" s="11"/>
      <c r="I443" s="11"/>
      <c r="J443" s="11"/>
      <c r="K443" s="11"/>
      <c r="L443" s="12"/>
      <c r="M443" s="11"/>
      <c r="N443" s="13"/>
      <c r="O443" s="11"/>
      <c r="P443" s="12"/>
      <c r="Q443" s="12"/>
      <c r="R443" s="12"/>
      <c r="S443" s="15"/>
    </row>
    <row r="444" ht="15" customHeight="1" s="4" customFormat="1">
      <c r="A444" s="15"/>
      <c r="B444" s="11"/>
      <c r="C444" s="11"/>
      <c r="D444" s="11"/>
      <c r="E444" s="11"/>
      <c r="F444" s="12"/>
      <c r="G444" s="11"/>
      <c r="H444" s="11"/>
      <c r="I444" s="11"/>
      <c r="J444" s="11"/>
      <c r="K444" s="11"/>
      <c r="L444" s="12"/>
      <c r="M444" s="11"/>
      <c r="N444" s="13"/>
      <c r="O444" s="11"/>
      <c r="P444" s="12"/>
      <c r="Q444" s="12"/>
      <c r="R444" s="12"/>
      <c r="S444" s="15"/>
    </row>
    <row r="445" ht="15" customHeight="1" s="4" customFormat="1">
      <c r="A445" s="15"/>
      <c r="B445" s="11"/>
      <c r="C445" s="11"/>
      <c r="D445" s="11"/>
      <c r="E445" s="11"/>
      <c r="F445" s="12"/>
      <c r="G445" s="11"/>
      <c r="H445" s="11"/>
      <c r="I445" s="11"/>
      <c r="J445" s="11"/>
      <c r="K445" s="11"/>
      <c r="L445" s="12"/>
      <c r="M445" s="11"/>
      <c r="N445" s="13"/>
      <c r="O445" s="11"/>
      <c r="P445" s="12"/>
      <c r="Q445" s="12"/>
      <c r="R445" s="12"/>
      <c r="S445" s="15"/>
    </row>
    <row r="446" ht="15" customHeight="1" s="4" customFormat="1">
      <c r="A446" s="15"/>
      <c r="B446" s="11"/>
      <c r="C446" s="11"/>
      <c r="D446" s="11"/>
      <c r="E446" s="11"/>
      <c r="F446" s="12"/>
      <c r="G446" s="11"/>
      <c r="H446" s="11"/>
      <c r="I446" s="11"/>
      <c r="J446" s="11"/>
      <c r="K446" s="11"/>
      <c r="L446" s="12"/>
      <c r="M446" s="11"/>
      <c r="N446" s="13"/>
      <c r="O446" s="11"/>
      <c r="P446" s="12"/>
      <c r="Q446" s="12"/>
      <c r="R446" s="12"/>
      <c r="S446" s="15"/>
    </row>
    <row r="447" ht="15" customHeight="1" s="4" customFormat="1">
      <c r="A447" s="15"/>
      <c r="B447" s="11"/>
      <c r="C447" s="11"/>
      <c r="D447" s="11"/>
      <c r="E447" s="11"/>
      <c r="F447" s="12"/>
      <c r="G447" s="11"/>
      <c r="H447" s="11"/>
      <c r="I447" s="11"/>
      <c r="J447" s="11"/>
      <c r="K447" s="11"/>
      <c r="L447" s="12"/>
      <c r="M447" s="11"/>
      <c r="N447" s="13"/>
      <c r="O447" s="11"/>
      <c r="P447" s="12"/>
      <c r="Q447" s="12"/>
      <c r="R447" s="12"/>
      <c r="S447" s="15"/>
    </row>
    <row r="448" ht="15" customHeight="1" s="4" customFormat="1">
      <c r="A448" s="15"/>
      <c r="B448" s="11"/>
      <c r="C448" s="11"/>
      <c r="D448" s="11"/>
      <c r="E448" s="11"/>
      <c r="F448" s="12"/>
      <c r="G448" s="11"/>
      <c r="H448" s="11"/>
      <c r="I448" s="11"/>
      <c r="J448" s="11"/>
      <c r="K448" s="11"/>
      <c r="L448" s="12"/>
      <c r="M448" s="11"/>
      <c r="N448" s="13"/>
      <c r="O448" s="11"/>
      <c r="P448" s="12"/>
      <c r="Q448" s="12"/>
      <c r="R448" s="12"/>
      <c r="S448" s="15"/>
    </row>
    <row r="449" ht="15" customHeight="1" s="4" customFormat="1">
      <c r="A449" s="15"/>
      <c r="B449" s="11"/>
      <c r="C449" s="11"/>
      <c r="D449" s="11"/>
      <c r="E449" s="11"/>
      <c r="F449" s="12"/>
      <c r="G449" s="11"/>
      <c r="H449" s="11"/>
      <c r="I449" s="11"/>
      <c r="J449" s="11"/>
      <c r="K449" s="11"/>
      <c r="L449" s="12"/>
      <c r="M449" s="11"/>
      <c r="N449" s="13"/>
      <c r="O449" s="11"/>
      <c r="P449" s="12"/>
      <c r="Q449" s="12"/>
      <c r="R449" s="12"/>
      <c r="S449" s="15"/>
    </row>
    <row r="450" ht="15" customHeight="1" s="4" customFormat="1">
      <c r="A450" s="15"/>
      <c r="B450" s="11"/>
      <c r="C450" s="11"/>
      <c r="D450" s="11"/>
      <c r="E450" s="11"/>
      <c r="F450" s="12"/>
      <c r="G450" s="11"/>
      <c r="H450" s="11"/>
      <c r="I450" s="11"/>
      <c r="J450" s="11"/>
      <c r="K450" s="11"/>
      <c r="L450" s="12"/>
      <c r="M450" s="11"/>
      <c r="N450" s="13"/>
      <c r="O450" s="11"/>
      <c r="P450" s="12"/>
      <c r="Q450" s="12"/>
      <c r="R450" s="12"/>
      <c r="S450" s="15"/>
    </row>
    <row r="451" ht="15" customHeight="1" s="4" customFormat="1">
      <c r="A451" s="15"/>
      <c r="B451" s="11"/>
      <c r="C451" s="11"/>
      <c r="D451" s="11"/>
      <c r="E451" s="11"/>
      <c r="F451" s="12"/>
      <c r="G451" s="11"/>
      <c r="H451" s="11"/>
      <c r="I451" s="11"/>
      <c r="J451" s="11"/>
      <c r="K451" s="11"/>
      <c r="L451" s="12"/>
      <c r="M451" s="11"/>
      <c r="N451" s="13"/>
      <c r="O451" s="11"/>
      <c r="P451" s="12"/>
      <c r="Q451" s="12"/>
      <c r="R451" s="12"/>
      <c r="S451" s="15"/>
    </row>
    <row r="452" ht="15" customHeight="1" s="4" customFormat="1">
      <c r="A452" s="15"/>
      <c r="B452" s="11"/>
      <c r="C452" s="11"/>
      <c r="D452" s="11"/>
      <c r="E452" s="11"/>
      <c r="F452" s="12"/>
      <c r="G452" s="11"/>
      <c r="H452" s="11"/>
      <c r="I452" s="11"/>
      <c r="J452" s="11"/>
      <c r="K452" s="11"/>
      <c r="L452" s="12"/>
      <c r="M452" s="11"/>
      <c r="N452" s="13"/>
      <c r="O452" s="11"/>
      <c r="P452" s="12"/>
      <c r="Q452" s="12"/>
      <c r="R452" s="12"/>
      <c r="S452" s="15"/>
    </row>
    <row r="453" ht="15" customHeight="1" s="4" customFormat="1">
      <c r="A453" s="15"/>
      <c r="B453" s="11"/>
      <c r="C453" s="11"/>
      <c r="D453" s="11"/>
      <c r="E453" s="11"/>
      <c r="F453" s="12"/>
      <c r="G453" s="11"/>
      <c r="H453" s="11"/>
      <c r="I453" s="11"/>
      <c r="J453" s="11"/>
      <c r="K453" s="11"/>
      <c r="L453" s="12"/>
      <c r="M453" s="11"/>
      <c r="N453" s="13"/>
      <c r="O453" s="11"/>
      <c r="P453" s="12"/>
      <c r="Q453" s="12"/>
      <c r="R453" s="12"/>
      <c r="S453" s="15"/>
    </row>
    <row r="454" ht="15" customHeight="1" s="4" customFormat="1">
      <c r="A454" s="15"/>
      <c r="B454" s="11"/>
      <c r="C454" s="11"/>
      <c r="D454" s="11"/>
      <c r="E454" s="11"/>
      <c r="F454" s="12"/>
      <c r="G454" s="11"/>
      <c r="H454" s="11"/>
      <c r="I454" s="11"/>
      <c r="J454" s="11"/>
      <c r="K454" s="11"/>
      <c r="L454" s="12"/>
      <c r="M454" s="11"/>
      <c r="N454" s="13"/>
      <c r="O454" s="11"/>
      <c r="P454" s="12"/>
      <c r="Q454" s="12"/>
      <c r="R454" s="12"/>
      <c r="S454" s="15"/>
    </row>
    <row r="455" ht="15" customHeight="1" s="4" customFormat="1">
      <c r="A455" s="15"/>
      <c r="B455" s="11"/>
      <c r="C455" s="11"/>
      <c r="D455" s="11"/>
      <c r="E455" s="11"/>
      <c r="F455" s="12"/>
      <c r="G455" s="11"/>
      <c r="H455" s="11"/>
      <c r="I455" s="11"/>
      <c r="J455" s="11"/>
      <c r="K455" s="11"/>
      <c r="L455" s="12"/>
      <c r="M455" s="11"/>
      <c r="N455" s="13"/>
      <c r="O455" s="11"/>
      <c r="P455" s="12"/>
      <c r="Q455" s="12"/>
      <c r="R455" s="12"/>
      <c r="S455" s="15"/>
    </row>
    <row r="456" ht="15" customHeight="1" s="4" customFormat="1">
      <c r="A456" s="15"/>
      <c r="B456" s="11"/>
      <c r="C456" s="11"/>
      <c r="D456" s="11"/>
      <c r="E456" s="11"/>
      <c r="F456" s="12"/>
      <c r="G456" s="11"/>
      <c r="H456" s="11"/>
      <c r="I456" s="11"/>
      <c r="J456" s="11"/>
      <c r="K456" s="11"/>
      <c r="L456" s="12"/>
      <c r="M456" s="11"/>
      <c r="N456" s="13"/>
      <c r="O456" s="11"/>
      <c r="P456" s="12"/>
      <c r="Q456" s="12"/>
      <c r="R456" s="12"/>
      <c r="S456" s="15"/>
    </row>
    <row r="457" ht="15" customHeight="1" s="4" customFormat="1">
      <c r="A457" s="15"/>
      <c r="B457" s="11"/>
      <c r="C457" s="11"/>
      <c r="D457" s="11"/>
      <c r="E457" s="11"/>
      <c r="F457" s="12"/>
      <c r="G457" s="11"/>
      <c r="H457" s="11"/>
      <c r="I457" s="11"/>
      <c r="J457" s="11"/>
      <c r="K457" s="11"/>
      <c r="L457" s="12"/>
      <c r="M457" s="11"/>
      <c r="N457" s="13"/>
      <c r="O457" s="11"/>
      <c r="P457" s="12"/>
      <c r="Q457" s="12"/>
      <c r="R457" s="12"/>
      <c r="S457" s="15"/>
    </row>
    <row r="458" ht="15" customHeight="1" s="4" customFormat="1">
      <c r="A458" s="15"/>
      <c r="B458" s="11"/>
      <c r="C458" s="11"/>
      <c r="D458" s="11"/>
      <c r="E458" s="11"/>
      <c r="F458" s="12"/>
      <c r="G458" s="11"/>
      <c r="H458" s="11"/>
      <c r="I458" s="11"/>
      <c r="J458" s="11"/>
      <c r="K458" s="11"/>
      <c r="L458" s="12"/>
      <c r="M458" s="11"/>
      <c r="N458" s="13"/>
      <c r="O458" s="11"/>
      <c r="P458" s="12"/>
      <c r="Q458" s="12"/>
      <c r="R458" s="12"/>
      <c r="S458" s="15"/>
    </row>
    <row r="459" ht="15" customHeight="1" s="4" customFormat="1">
      <c r="A459" s="15"/>
      <c r="B459" s="11"/>
      <c r="C459" s="11"/>
      <c r="D459" s="11"/>
      <c r="E459" s="11"/>
      <c r="F459" s="12"/>
      <c r="G459" s="11"/>
      <c r="H459" s="11"/>
      <c r="I459" s="11"/>
      <c r="J459" s="11"/>
      <c r="K459" s="11"/>
      <c r="L459" s="12"/>
      <c r="M459" s="11"/>
      <c r="N459" s="13"/>
      <c r="O459" s="11"/>
      <c r="P459" s="12"/>
      <c r="Q459" s="12"/>
      <c r="R459" s="12"/>
      <c r="S459" s="15"/>
    </row>
    <row r="460" ht="15" customHeight="1" s="4" customFormat="1">
      <c r="A460" s="15"/>
      <c r="B460" s="11"/>
      <c r="C460" s="11"/>
      <c r="D460" s="11"/>
      <c r="E460" s="11"/>
      <c r="F460" s="12"/>
      <c r="G460" s="11"/>
      <c r="H460" s="11"/>
      <c r="I460" s="11"/>
      <c r="J460" s="11"/>
      <c r="K460" s="11"/>
      <c r="L460" s="12"/>
      <c r="M460" s="11"/>
      <c r="N460" s="13"/>
      <c r="O460" s="11"/>
      <c r="P460" s="12"/>
      <c r="Q460" s="12"/>
      <c r="R460" s="12"/>
      <c r="S460" s="15"/>
    </row>
    <row r="461" ht="15" customHeight="1" s="4" customFormat="1">
      <c r="A461" s="15"/>
      <c r="B461" s="11"/>
      <c r="C461" s="11"/>
      <c r="D461" s="11"/>
      <c r="E461" s="11"/>
      <c r="F461" s="12"/>
      <c r="G461" s="11"/>
      <c r="H461" s="11"/>
      <c r="I461" s="11"/>
      <c r="J461" s="11"/>
      <c r="K461" s="11"/>
      <c r="L461" s="12"/>
      <c r="M461" s="11"/>
      <c r="N461" s="13"/>
      <c r="O461" s="11"/>
      <c r="P461" s="12"/>
      <c r="Q461" s="12"/>
      <c r="R461" s="12"/>
      <c r="S461" s="15"/>
    </row>
    <row r="462" ht="15" customHeight="1" s="4" customFormat="1">
      <c r="A462" s="15"/>
      <c r="B462" s="11"/>
      <c r="C462" s="11"/>
      <c r="D462" s="11"/>
      <c r="E462" s="11"/>
      <c r="F462" s="12"/>
      <c r="G462" s="11"/>
      <c r="H462" s="11"/>
      <c r="I462" s="11"/>
      <c r="J462" s="11"/>
      <c r="K462" s="11"/>
      <c r="L462" s="12"/>
      <c r="M462" s="11"/>
      <c r="N462" s="13"/>
      <c r="O462" s="11"/>
      <c r="P462" s="12"/>
      <c r="Q462" s="12"/>
      <c r="R462" s="12"/>
      <c r="S462" s="15"/>
    </row>
    <row r="463" ht="15" customHeight="1" s="4" customFormat="1">
      <c r="A463" s="15"/>
      <c r="B463" s="11"/>
      <c r="C463" s="11"/>
      <c r="D463" s="11"/>
      <c r="E463" s="11"/>
      <c r="F463" s="12"/>
      <c r="G463" s="11"/>
      <c r="H463" s="11"/>
      <c r="I463" s="11"/>
      <c r="J463" s="11"/>
      <c r="K463" s="11"/>
      <c r="L463" s="12"/>
      <c r="M463" s="11"/>
      <c r="N463" s="13"/>
      <c r="O463" s="11"/>
      <c r="P463" s="12"/>
      <c r="Q463" s="12"/>
      <c r="R463" s="12"/>
      <c r="S463" s="15"/>
    </row>
    <row r="464" ht="15" customHeight="1" s="4" customFormat="1">
      <c r="A464" s="15"/>
      <c r="B464" s="11"/>
      <c r="C464" s="11"/>
      <c r="D464" s="11"/>
      <c r="E464" s="11"/>
      <c r="F464" s="12"/>
      <c r="G464" s="11"/>
      <c r="H464" s="11"/>
      <c r="I464" s="11"/>
      <c r="J464" s="11"/>
      <c r="K464" s="11"/>
      <c r="L464" s="12"/>
      <c r="M464" s="11"/>
      <c r="N464" s="13"/>
      <c r="O464" s="11"/>
      <c r="P464" s="12"/>
      <c r="Q464" s="12"/>
      <c r="R464" s="12"/>
      <c r="S464" s="15"/>
    </row>
    <row r="465" ht="15" customHeight="1" s="4" customFormat="1">
      <c r="A465" s="15"/>
      <c r="B465" s="11"/>
      <c r="C465" s="11"/>
      <c r="D465" s="11"/>
      <c r="E465" s="11"/>
      <c r="F465" s="12"/>
      <c r="G465" s="11"/>
      <c r="H465" s="11"/>
      <c r="I465" s="11"/>
      <c r="J465" s="11"/>
      <c r="K465" s="11"/>
      <c r="L465" s="12"/>
      <c r="M465" s="11"/>
      <c r="N465" s="13"/>
      <c r="O465" s="11"/>
      <c r="P465" s="12"/>
      <c r="Q465" s="12"/>
      <c r="R465" s="12"/>
      <c r="S465" s="15"/>
    </row>
    <row r="466" ht="15" customHeight="1" s="4" customFormat="1">
      <c r="A466" s="15"/>
      <c r="B466" s="11"/>
      <c r="C466" s="11"/>
      <c r="D466" s="11"/>
      <c r="E466" s="11"/>
      <c r="F466" s="12"/>
      <c r="G466" s="11"/>
      <c r="H466" s="11"/>
      <c r="I466" s="11"/>
      <c r="J466" s="11"/>
      <c r="K466" s="11"/>
      <c r="L466" s="12"/>
      <c r="M466" s="11"/>
      <c r="N466" s="13"/>
      <c r="O466" s="11"/>
      <c r="P466" s="12"/>
      <c r="Q466" s="12"/>
      <c r="R466" s="12"/>
      <c r="S466" s="15"/>
    </row>
    <row r="467" ht="15" customHeight="1" s="4" customFormat="1">
      <c r="A467" s="15"/>
      <c r="B467" s="11"/>
      <c r="C467" s="11"/>
      <c r="D467" s="11"/>
      <c r="E467" s="11"/>
      <c r="F467" s="12"/>
      <c r="G467" s="11"/>
      <c r="H467" s="11"/>
      <c r="I467" s="11"/>
      <c r="J467" s="11"/>
      <c r="K467" s="11"/>
      <c r="L467" s="12"/>
      <c r="M467" s="11"/>
      <c r="N467" s="13"/>
      <c r="O467" s="11"/>
      <c r="P467" s="12"/>
      <c r="Q467" s="12"/>
      <c r="R467" s="12"/>
      <c r="S467" s="15"/>
    </row>
    <row r="468" ht="15" customHeight="1" s="4" customFormat="1">
      <c r="A468" s="15"/>
      <c r="B468" s="11"/>
      <c r="C468" s="11"/>
      <c r="D468" s="11"/>
      <c r="E468" s="11"/>
      <c r="F468" s="12"/>
      <c r="G468" s="11"/>
      <c r="H468" s="11"/>
      <c r="I468" s="11"/>
      <c r="J468" s="11"/>
      <c r="K468" s="11"/>
      <c r="L468" s="12"/>
      <c r="M468" s="11"/>
      <c r="N468" s="13"/>
      <c r="O468" s="11"/>
      <c r="P468" s="12"/>
      <c r="Q468" s="12"/>
      <c r="R468" s="12"/>
      <c r="S468" s="15"/>
    </row>
    <row r="469" ht="15" customHeight="1" s="4" customFormat="1">
      <c r="A469" s="15"/>
      <c r="B469" s="11"/>
      <c r="C469" s="11"/>
      <c r="D469" s="11"/>
      <c r="E469" s="11"/>
      <c r="F469" s="12"/>
      <c r="G469" s="11"/>
      <c r="H469" s="11"/>
      <c r="I469" s="11"/>
      <c r="J469" s="11"/>
      <c r="K469" s="11"/>
      <c r="L469" s="12"/>
      <c r="M469" s="11"/>
      <c r="N469" s="13"/>
      <c r="O469" s="11"/>
      <c r="P469" s="12"/>
      <c r="Q469" s="12"/>
      <c r="R469" s="12"/>
      <c r="S469" s="15"/>
    </row>
    <row r="470" ht="15" customHeight="1" s="4" customFormat="1">
      <c r="A470" s="15"/>
      <c r="B470" s="11"/>
      <c r="C470" s="11"/>
      <c r="D470" s="11"/>
      <c r="E470" s="11"/>
      <c r="F470" s="12"/>
      <c r="G470" s="11"/>
      <c r="H470" s="11"/>
      <c r="I470" s="11"/>
      <c r="J470" s="11"/>
      <c r="K470" s="11"/>
      <c r="L470" s="12"/>
      <c r="M470" s="11"/>
      <c r="N470" s="13"/>
      <c r="O470" s="11"/>
      <c r="P470" s="12"/>
      <c r="Q470" s="12"/>
      <c r="R470" s="12"/>
      <c r="S470" s="15"/>
    </row>
    <row r="471" ht="15" customHeight="1" s="4" customFormat="1">
      <c r="A471" s="15"/>
      <c r="B471" s="11"/>
      <c r="C471" s="11"/>
      <c r="D471" s="11"/>
      <c r="E471" s="11"/>
      <c r="F471" s="12"/>
      <c r="G471" s="11"/>
      <c r="H471" s="11"/>
      <c r="I471" s="11"/>
      <c r="J471" s="11"/>
      <c r="K471" s="11"/>
      <c r="L471" s="12"/>
      <c r="M471" s="11"/>
      <c r="N471" s="13"/>
      <c r="O471" s="11"/>
      <c r="P471" s="12"/>
      <c r="Q471" s="12"/>
      <c r="R471" s="12"/>
      <c r="S471" s="15"/>
    </row>
    <row r="472" ht="15" customHeight="1" s="4" customFormat="1">
      <c r="A472" s="15"/>
      <c r="B472" s="11"/>
      <c r="C472" s="11"/>
      <c r="D472" s="11"/>
      <c r="E472" s="11"/>
      <c r="F472" s="12"/>
      <c r="G472" s="11"/>
      <c r="H472" s="11"/>
      <c r="I472" s="11"/>
      <c r="J472" s="11"/>
      <c r="K472" s="11"/>
      <c r="L472" s="12"/>
      <c r="M472" s="11"/>
      <c r="N472" s="13"/>
      <c r="O472" s="11"/>
      <c r="P472" s="12"/>
      <c r="Q472" s="12"/>
      <c r="R472" s="12"/>
      <c r="S472" s="15"/>
    </row>
    <row r="473" ht="15" customHeight="1" s="4" customFormat="1">
      <c r="A473" s="15"/>
      <c r="B473" s="11"/>
      <c r="C473" s="11"/>
      <c r="D473" s="11"/>
      <c r="E473" s="11"/>
      <c r="F473" s="12"/>
      <c r="G473" s="11"/>
      <c r="H473" s="11"/>
      <c r="I473" s="11"/>
      <c r="J473" s="11"/>
      <c r="K473" s="11"/>
      <c r="L473" s="12"/>
      <c r="M473" s="11"/>
      <c r="N473" s="13"/>
      <c r="O473" s="11"/>
      <c r="P473" s="12"/>
      <c r="Q473" s="12"/>
      <c r="R473" s="12"/>
      <c r="S473" s="15"/>
    </row>
    <row r="474" ht="15" customHeight="1" s="4" customFormat="1">
      <c r="A474" s="15"/>
      <c r="B474" s="11"/>
      <c r="C474" s="11"/>
      <c r="D474" s="11"/>
      <c r="E474" s="11"/>
      <c r="F474" s="12"/>
      <c r="G474" s="11"/>
      <c r="H474" s="11"/>
      <c r="I474" s="11"/>
      <c r="J474" s="11"/>
      <c r="K474" s="11"/>
      <c r="L474" s="12"/>
      <c r="M474" s="11"/>
      <c r="N474" s="13"/>
      <c r="O474" s="11"/>
      <c r="P474" s="12"/>
      <c r="Q474" s="12"/>
      <c r="R474" s="12"/>
      <c r="S474" s="15"/>
    </row>
    <row r="475" ht="15" customHeight="1" s="4" customFormat="1">
      <c r="A475" s="15"/>
      <c r="B475" s="11"/>
      <c r="C475" s="11"/>
      <c r="D475" s="11"/>
      <c r="E475" s="11"/>
      <c r="F475" s="12"/>
      <c r="G475" s="11"/>
      <c r="H475" s="11"/>
      <c r="I475" s="11"/>
      <c r="J475" s="11"/>
      <c r="K475" s="11"/>
      <c r="L475" s="12"/>
      <c r="M475" s="11"/>
      <c r="N475" s="13"/>
      <c r="O475" s="11"/>
      <c r="P475" s="12"/>
      <c r="Q475" s="12"/>
      <c r="R475" s="12"/>
      <c r="S475" s="15"/>
    </row>
    <row r="476" ht="15" customHeight="1" s="4" customFormat="1">
      <c r="A476" s="15"/>
      <c r="B476" s="11"/>
      <c r="C476" s="11"/>
      <c r="D476" s="11"/>
      <c r="E476" s="11"/>
      <c r="F476" s="12"/>
      <c r="G476" s="11"/>
      <c r="H476" s="11"/>
      <c r="I476" s="11"/>
      <c r="J476" s="11"/>
      <c r="K476" s="11"/>
      <c r="L476" s="12"/>
      <c r="M476" s="11"/>
      <c r="N476" s="13"/>
      <c r="O476" s="11"/>
      <c r="P476" s="12"/>
      <c r="Q476" s="12"/>
      <c r="R476" s="12"/>
      <c r="S476" s="15"/>
    </row>
    <row r="477" ht="15" customHeight="1" s="4" customFormat="1">
      <c r="A477" s="15"/>
      <c r="B477" s="11"/>
      <c r="C477" s="11"/>
      <c r="D477" s="11"/>
      <c r="E477" s="11"/>
      <c r="F477" s="12"/>
      <c r="G477" s="11"/>
      <c r="H477" s="11"/>
      <c r="I477" s="11"/>
      <c r="J477" s="11"/>
      <c r="K477" s="11"/>
      <c r="L477" s="12"/>
      <c r="M477" s="11"/>
      <c r="N477" s="13"/>
      <c r="O477" s="11"/>
      <c r="P477" s="12"/>
      <c r="Q477" s="12"/>
      <c r="R477" s="12"/>
      <c r="S477" s="15"/>
    </row>
    <row r="478" ht="15" customHeight="1" s="4" customFormat="1">
      <c r="A478" s="15"/>
      <c r="B478" s="11"/>
      <c r="C478" s="11"/>
      <c r="D478" s="11"/>
      <c r="E478" s="11"/>
      <c r="F478" s="12"/>
      <c r="G478" s="11"/>
      <c r="H478" s="11"/>
      <c r="I478" s="11"/>
      <c r="J478" s="11"/>
      <c r="K478" s="11"/>
      <c r="L478" s="12"/>
      <c r="M478" s="11"/>
      <c r="N478" s="13"/>
      <c r="O478" s="11"/>
      <c r="P478" s="12"/>
      <c r="Q478" s="12"/>
      <c r="R478" s="12"/>
      <c r="S478" s="15"/>
    </row>
    <row r="479" ht="15" customHeight="1" s="4" customFormat="1">
      <c r="A479" s="15"/>
      <c r="B479" s="11"/>
      <c r="C479" s="11"/>
      <c r="D479" s="11"/>
      <c r="E479" s="11"/>
      <c r="F479" s="12"/>
      <c r="G479" s="11"/>
      <c r="H479" s="11"/>
      <c r="I479" s="11"/>
      <c r="J479" s="11"/>
      <c r="K479" s="11"/>
      <c r="L479" s="12"/>
      <c r="M479" s="11"/>
      <c r="N479" s="13"/>
      <c r="O479" s="11"/>
      <c r="P479" s="12"/>
      <c r="Q479" s="12"/>
      <c r="R479" s="12"/>
      <c r="S479" s="15"/>
    </row>
    <row r="480" ht="15" customHeight="1" s="4" customFormat="1">
      <c r="A480" s="15"/>
      <c r="B480" s="11"/>
      <c r="C480" s="11"/>
      <c r="D480" s="11"/>
      <c r="E480" s="11"/>
      <c r="F480" s="12"/>
      <c r="G480" s="11"/>
      <c r="H480" s="11"/>
      <c r="I480" s="11"/>
      <c r="J480" s="11"/>
      <c r="K480" s="11"/>
      <c r="L480" s="12"/>
      <c r="M480" s="11"/>
      <c r="N480" s="13"/>
      <c r="O480" s="11"/>
      <c r="P480" s="12"/>
      <c r="Q480" s="12"/>
      <c r="R480" s="12"/>
      <c r="S480" s="15"/>
    </row>
    <row r="481" ht="15" customHeight="1" s="4" customFormat="1">
      <c r="A481" s="15"/>
      <c r="B481" s="11"/>
      <c r="C481" s="11"/>
      <c r="D481" s="11"/>
      <c r="E481" s="11"/>
      <c r="F481" s="12"/>
      <c r="G481" s="11"/>
      <c r="H481" s="11"/>
      <c r="I481" s="11"/>
      <c r="J481" s="11"/>
      <c r="K481" s="11"/>
      <c r="L481" s="12"/>
      <c r="M481" s="11"/>
      <c r="N481" s="13"/>
      <c r="O481" s="11"/>
      <c r="P481" s="12"/>
      <c r="Q481" s="12"/>
      <c r="R481" s="12"/>
      <c r="S481" s="15"/>
    </row>
    <row r="482" ht="15" customHeight="1" s="4" customFormat="1">
      <c r="A482" s="15"/>
      <c r="B482" s="11"/>
      <c r="C482" s="11"/>
      <c r="D482" s="11"/>
      <c r="E482" s="11"/>
      <c r="F482" s="12"/>
      <c r="G482" s="11"/>
      <c r="H482" s="11"/>
      <c r="I482" s="11"/>
      <c r="J482" s="11"/>
      <c r="K482" s="11"/>
      <c r="L482" s="12"/>
      <c r="M482" s="11"/>
      <c r="N482" s="13"/>
      <c r="O482" s="11"/>
      <c r="P482" s="12"/>
      <c r="Q482" s="12"/>
      <c r="R482" s="12"/>
      <c r="S482" s="15"/>
    </row>
    <row r="483" ht="15" customHeight="1" s="4" customFormat="1">
      <c r="A483" s="15"/>
      <c r="B483" s="11"/>
      <c r="C483" s="11"/>
      <c r="D483" s="11"/>
      <c r="E483" s="11"/>
      <c r="F483" s="12"/>
      <c r="G483" s="11"/>
      <c r="H483" s="11"/>
      <c r="I483" s="11"/>
      <c r="J483" s="11"/>
      <c r="K483" s="11"/>
      <c r="L483" s="12"/>
      <c r="M483" s="11"/>
      <c r="N483" s="13"/>
      <c r="O483" s="11"/>
      <c r="P483" s="12"/>
      <c r="Q483" s="12"/>
      <c r="R483" s="12"/>
      <c r="S483" s="15"/>
    </row>
    <row r="484" ht="15" customHeight="1" s="4" customFormat="1">
      <c r="A484" s="15"/>
      <c r="B484" s="11"/>
      <c r="C484" s="11"/>
      <c r="D484" s="11"/>
      <c r="E484" s="11"/>
      <c r="F484" s="12"/>
      <c r="G484" s="11"/>
      <c r="H484" s="11"/>
      <c r="I484" s="11"/>
      <c r="J484" s="11"/>
      <c r="K484" s="11"/>
      <c r="L484" s="12"/>
      <c r="M484" s="11"/>
      <c r="N484" s="13"/>
      <c r="O484" s="11"/>
      <c r="P484" s="12"/>
      <c r="Q484" s="12"/>
      <c r="R484" s="12"/>
      <c r="S484" s="15"/>
    </row>
    <row r="485" ht="15" customHeight="1" s="4" customFormat="1">
      <c r="A485" s="15"/>
      <c r="B485" s="11"/>
      <c r="C485" s="11"/>
      <c r="D485" s="11"/>
      <c r="E485" s="11"/>
      <c r="F485" s="12"/>
      <c r="G485" s="11"/>
      <c r="H485" s="11"/>
      <c r="I485" s="11"/>
      <c r="J485" s="11"/>
      <c r="K485" s="11"/>
      <c r="L485" s="12"/>
      <c r="M485" s="11"/>
      <c r="N485" s="13"/>
      <c r="O485" s="11"/>
      <c r="P485" s="12"/>
      <c r="Q485" s="12"/>
      <c r="R485" s="12"/>
      <c r="S485" s="15"/>
    </row>
    <row r="486" ht="15" customHeight="1" s="4" customFormat="1">
      <c r="A486" s="15"/>
      <c r="B486" s="11"/>
      <c r="C486" s="11"/>
      <c r="D486" s="11"/>
      <c r="E486" s="11"/>
      <c r="F486" s="12"/>
      <c r="G486" s="11"/>
      <c r="H486" s="11"/>
      <c r="I486" s="11"/>
      <c r="J486" s="11"/>
      <c r="K486" s="11"/>
      <c r="L486" s="12"/>
      <c r="M486" s="11"/>
      <c r="N486" s="13"/>
      <c r="O486" s="11"/>
      <c r="P486" s="12"/>
      <c r="Q486" s="12"/>
      <c r="R486" s="12"/>
      <c r="S486" s="15"/>
    </row>
    <row r="487" ht="15" customHeight="1" s="4" customFormat="1">
      <c r="A487" s="15"/>
      <c r="B487" s="11"/>
      <c r="C487" s="11"/>
      <c r="D487" s="11"/>
      <c r="E487" s="11"/>
      <c r="F487" s="12"/>
      <c r="G487" s="11"/>
      <c r="H487" s="11"/>
      <c r="I487" s="11"/>
      <c r="J487" s="11"/>
      <c r="K487" s="11"/>
      <c r="L487" s="12"/>
      <c r="M487" s="11"/>
      <c r="N487" s="13"/>
      <c r="O487" s="11"/>
      <c r="P487" s="12"/>
      <c r="Q487" s="12"/>
      <c r="R487" s="12"/>
      <c r="S487" s="15"/>
    </row>
    <row r="488" ht="15" customHeight="1" s="4" customFormat="1">
      <c r="A488" s="15"/>
      <c r="B488" s="11"/>
      <c r="C488" s="11"/>
      <c r="D488" s="11"/>
      <c r="E488" s="11"/>
      <c r="F488" s="12"/>
      <c r="G488" s="11"/>
      <c r="H488" s="11"/>
      <c r="I488" s="11"/>
      <c r="J488" s="11"/>
      <c r="K488" s="11"/>
      <c r="L488" s="12"/>
      <c r="M488" s="11"/>
      <c r="N488" s="13"/>
      <c r="O488" s="11"/>
      <c r="P488" s="12"/>
      <c r="Q488" s="12"/>
      <c r="R488" s="12"/>
      <c r="S488" s="15"/>
    </row>
    <row r="489" ht="15" customHeight="1" s="4" customFormat="1">
      <c r="A489" s="15"/>
      <c r="B489" s="11"/>
      <c r="C489" s="11"/>
      <c r="D489" s="11"/>
      <c r="E489" s="11"/>
      <c r="F489" s="12"/>
      <c r="G489" s="11"/>
      <c r="H489" s="11"/>
      <c r="I489" s="11"/>
      <c r="J489" s="11"/>
      <c r="K489" s="11"/>
      <c r="L489" s="12"/>
      <c r="M489" s="11"/>
      <c r="N489" s="13"/>
      <c r="O489" s="11"/>
      <c r="P489" s="12"/>
      <c r="Q489" s="12"/>
      <c r="R489" s="12"/>
      <c r="S489" s="15"/>
    </row>
    <row r="490" ht="15" customHeight="1" s="4" customFormat="1">
      <c r="A490" s="15"/>
      <c r="B490" s="11"/>
      <c r="C490" s="11"/>
      <c r="D490" s="11"/>
      <c r="E490" s="11"/>
      <c r="F490" s="12"/>
      <c r="G490" s="11"/>
      <c r="H490" s="11"/>
      <c r="I490" s="11"/>
      <c r="J490" s="11"/>
      <c r="K490" s="11"/>
      <c r="L490" s="12"/>
      <c r="M490" s="11"/>
      <c r="N490" s="13"/>
      <c r="O490" s="11"/>
      <c r="P490" s="12"/>
      <c r="Q490" s="12"/>
      <c r="R490" s="12"/>
      <c r="S490" s="15"/>
    </row>
    <row r="491" ht="15" customHeight="1" s="4" customFormat="1">
      <c r="A491" s="15"/>
      <c r="B491" s="11"/>
      <c r="C491" s="11"/>
      <c r="D491" s="11"/>
      <c r="E491" s="11"/>
      <c r="F491" s="12"/>
      <c r="G491" s="11"/>
      <c r="H491" s="11"/>
      <c r="I491" s="11"/>
      <c r="J491" s="11"/>
      <c r="K491" s="11"/>
      <c r="L491" s="12"/>
      <c r="M491" s="11"/>
      <c r="N491" s="13"/>
      <c r="O491" s="11"/>
      <c r="P491" s="12"/>
      <c r="Q491" s="12"/>
      <c r="R491" s="12"/>
      <c r="S491" s="15"/>
    </row>
    <row r="492" ht="15" customHeight="1" s="4" customFormat="1">
      <c r="A492" s="15"/>
      <c r="B492" s="11"/>
      <c r="C492" s="11"/>
      <c r="D492" s="11"/>
      <c r="E492" s="11"/>
      <c r="F492" s="12"/>
      <c r="G492" s="11"/>
      <c r="H492" s="11"/>
      <c r="I492" s="11"/>
      <c r="J492" s="11"/>
      <c r="K492" s="11"/>
      <c r="L492" s="12"/>
      <c r="M492" s="11"/>
      <c r="N492" s="13"/>
      <c r="O492" s="11"/>
      <c r="P492" s="12"/>
      <c r="Q492" s="12"/>
      <c r="R492" s="12"/>
      <c r="S492" s="15"/>
    </row>
    <row r="493" ht="15" customHeight="1" s="4" customFormat="1">
      <c r="A493" s="15"/>
      <c r="B493" s="11"/>
      <c r="C493" s="11"/>
      <c r="D493" s="11"/>
      <c r="E493" s="11"/>
      <c r="F493" s="12"/>
      <c r="G493" s="11"/>
      <c r="H493" s="11"/>
      <c r="I493" s="11"/>
      <c r="J493" s="11"/>
      <c r="K493" s="11"/>
      <c r="L493" s="12"/>
      <c r="M493" s="11"/>
      <c r="N493" s="13"/>
      <c r="O493" s="11"/>
      <c r="P493" s="12"/>
      <c r="Q493" s="12"/>
      <c r="R493" s="12"/>
      <c r="S493" s="15"/>
    </row>
    <row r="494" ht="15" customHeight="1" s="4" customFormat="1">
      <c r="A494" s="15"/>
      <c r="B494" s="11"/>
      <c r="C494" s="11"/>
      <c r="D494" s="11"/>
      <c r="E494" s="11"/>
      <c r="F494" s="12"/>
      <c r="G494" s="11"/>
      <c r="H494" s="11"/>
      <c r="I494" s="11"/>
      <c r="J494" s="11"/>
      <c r="K494" s="11"/>
      <c r="L494" s="12"/>
      <c r="M494" s="11"/>
      <c r="N494" s="13"/>
      <c r="O494" s="11"/>
      <c r="P494" s="12"/>
      <c r="Q494" s="12"/>
      <c r="R494" s="12"/>
      <c r="S494" s="15"/>
    </row>
    <row r="495" ht="15" customHeight="1" s="4" customFormat="1">
      <c r="A495" s="15"/>
      <c r="B495" s="11"/>
      <c r="C495" s="11"/>
      <c r="D495" s="11"/>
      <c r="E495" s="11"/>
      <c r="F495" s="12"/>
      <c r="G495" s="11"/>
      <c r="H495" s="11"/>
      <c r="I495" s="11"/>
      <c r="J495" s="11"/>
      <c r="K495" s="11"/>
      <c r="L495" s="12"/>
      <c r="M495" s="11"/>
      <c r="N495" s="13"/>
      <c r="O495" s="11"/>
      <c r="P495" s="12"/>
      <c r="Q495" s="12"/>
      <c r="R495" s="12"/>
      <c r="S495" s="15"/>
    </row>
    <row r="496" ht="15" customHeight="1" s="4" customFormat="1">
      <c r="A496" s="15"/>
      <c r="B496" s="11"/>
      <c r="C496" s="11"/>
      <c r="D496" s="11"/>
      <c r="E496" s="11"/>
      <c r="F496" s="12"/>
      <c r="G496" s="11"/>
      <c r="H496" s="11"/>
      <c r="I496" s="11"/>
      <c r="J496" s="11"/>
      <c r="K496" s="11"/>
      <c r="L496" s="12"/>
      <c r="M496" s="11"/>
      <c r="N496" s="13"/>
      <c r="O496" s="11"/>
      <c r="P496" s="12"/>
      <c r="Q496" s="12"/>
      <c r="R496" s="12"/>
      <c r="S496" s="15"/>
    </row>
    <row r="497" ht="15" customHeight="1" s="4" customFormat="1">
      <c r="A497" s="15"/>
      <c r="B497" s="11"/>
      <c r="C497" s="11"/>
      <c r="D497" s="11"/>
      <c r="E497" s="11"/>
      <c r="F497" s="12"/>
      <c r="G497" s="11"/>
      <c r="H497" s="11"/>
      <c r="I497" s="11"/>
      <c r="J497" s="11"/>
      <c r="K497" s="11"/>
      <c r="L497" s="12"/>
      <c r="M497" s="11"/>
      <c r="N497" s="13"/>
      <c r="O497" s="11"/>
      <c r="P497" s="12"/>
      <c r="Q497" s="12"/>
      <c r="R497" s="12"/>
      <c r="S497" s="15"/>
    </row>
    <row r="498" ht="15" customHeight="1" s="4" customFormat="1">
      <c r="A498" s="15"/>
      <c r="B498" s="11"/>
      <c r="C498" s="11"/>
      <c r="D498" s="11"/>
      <c r="E498" s="11"/>
      <c r="F498" s="12"/>
      <c r="G498" s="11"/>
      <c r="H498" s="11"/>
      <c r="I498" s="11"/>
      <c r="J498" s="11"/>
      <c r="K498" s="11"/>
      <c r="L498" s="12"/>
      <c r="M498" s="11"/>
      <c r="N498" s="13"/>
      <c r="O498" s="11"/>
      <c r="P498" s="12"/>
      <c r="Q498" s="12"/>
      <c r="R498" s="12"/>
      <c r="S498" s="15"/>
    </row>
    <row r="499" ht="15" customHeight="1" s="4" customFormat="1">
      <c r="A499" s="15"/>
      <c r="B499" s="11"/>
      <c r="C499" s="11"/>
      <c r="D499" s="11"/>
      <c r="E499" s="11"/>
      <c r="F499" s="12"/>
      <c r="G499" s="11"/>
      <c r="H499" s="11"/>
      <c r="I499" s="11"/>
      <c r="J499" s="11"/>
      <c r="K499" s="11"/>
      <c r="L499" s="12"/>
      <c r="M499" s="11"/>
      <c r="N499" s="13"/>
      <c r="O499" s="11"/>
      <c r="P499" s="12"/>
      <c r="Q499" s="12"/>
      <c r="R499" s="12"/>
      <c r="S499" s="15"/>
    </row>
    <row r="500" ht="15" customHeight="1" s="4" customFormat="1">
      <c r="A500" s="15"/>
      <c r="B500" s="11"/>
      <c r="C500" s="11"/>
      <c r="D500" s="11"/>
      <c r="E500" s="11"/>
      <c r="F500" s="12"/>
      <c r="G500" s="11"/>
      <c r="H500" s="11"/>
      <c r="I500" s="11"/>
      <c r="J500" s="11"/>
      <c r="K500" s="11"/>
      <c r="L500" s="12"/>
      <c r="M500" s="11"/>
      <c r="N500" s="13"/>
      <c r="O500" s="11"/>
      <c r="P500" s="12"/>
      <c r="Q500" s="12"/>
      <c r="R500" s="12"/>
      <c r="S500" s="15"/>
    </row>
  </sheetData>
  <mergeCells>
    <mergeCell ref="B2:S2"/>
  </mergeCell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845B8C-AEC9-4551-B83D-AF485103133F}">
  <dimension ref="A1:P500"/>
  <sheetViews>
    <sheetView workbookViewId="0">
      <selection activeCell="D11" sqref="D11"/>
    </sheetView>
  </sheetViews>
  <sheetFormatPr defaultRowHeight="14.4" x14ac:dyDescent="0.3"/>
  <cols>
    <col min="1" max="1" bestFit="1" width="9.6640625" customWidth="1" style="4"/>
    <col min="2" max="2" bestFit="1" width="19.109375" customWidth="1" style="4"/>
    <col min="3" max="3" bestFit="1" width="19.44140625" customWidth="1" style="4"/>
    <col min="4" max="4" bestFit="1" width="22.109375" customWidth="1" style="4"/>
    <col min="5" max="5" bestFit="1" width="17.88671875" customWidth="1" style="4"/>
    <col min="6" max="6" bestFit="1" width="19.6640625" customWidth="1" style="4"/>
    <col min="7" max="7" bestFit="1" width="30.44140625" customWidth="1" style="4"/>
    <col min="8" max="8" bestFit="1" width="24.6640625" customWidth="1" style="4"/>
    <col min="9" max="9" bestFit="1" width="21.6640625" customWidth="1" style="4"/>
    <col min="10" max="10" bestFit="1" width="23" customWidth="1" style="4"/>
    <col min="11" max="11" bestFit="1" width="22.109375" customWidth="1" style="4"/>
    <col min="12" max="12" bestFit="1" width="16.6640625" customWidth="1" style="4"/>
    <col min="13" max="13" bestFit="1" width="28.88671875" customWidth="1" style="4"/>
    <col min="14" max="14" bestFit="1" width="35.33203125" customWidth="1" style="4"/>
    <col min="15" max="15" bestFit="1" width="18.88671875" customWidth="1" style="4"/>
    <col min="16" max="16" bestFit="1" width="23.6640625" customWidth="1" style="4"/>
  </cols>
  <sheetData>
    <row r="1" ht="15" customHeight="1" s="16" customFormat="1">
      <c r="A1" s="16" t="s">
        <v>2</v>
      </c>
      <c r="B1" s="16" t="s">
        <v>45</v>
      </c>
      <c r="C1" s="16" t="s">
        <v>46</v>
      </c>
      <c r="D1" s="16" t="s">
        <v>47</v>
      </c>
      <c r="E1" s="16" t="s">
        <v>48</v>
      </c>
      <c r="F1" s="16" t="s">
        <v>49</v>
      </c>
      <c r="G1" s="16" t="s">
        <v>50</v>
      </c>
      <c r="H1" s="16" t="s">
        <v>51</v>
      </c>
      <c r="I1" s="16" t="s">
        <v>52</v>
      </c>
      <c r="J1" s="16" t="s">
        <v>53</v>
      </c>
      <c r="K1" s="16" t="s">
        <v>54</v>
      </c>
      <c r="L1" s="16" t="s">
        <v>55</v>
      </c>
      <c r="M1" s="16" t="s">
        <v>56</v>
      </c>
      <c r="N1" s="16" t="s">
        <v>57</v>
      </c>
      <c r="O1" s="16" t="s">
        <v>58</v>
      </c>
      <c r="P1" s="16" t="s">
        <v>59</v>
      </c>
    </row>
    <row r="2" ht="15" customHeight="1" s="4" customFormat="1">
      <c r="A2" s="17">
        <v>45875</v>
      </c>
      <c r="B2" s="76">
        <v>102702</v>
      </c>
      <c r="C2" s="4" t="s">
        <v>20</v>
      </c>
      <c r="D2" s="76">
        <v>1</v>
      </c>
      <c r="E2" s="4" t="s">
        <v>22</v>
      </c>
      <c r="F2" s="77">
        <v>-1928047.99</v>
      </c>
      <c r="G2" s="77">
        <v>-1583484.2</v>
      </c>
      <c r="H2" s="76">
        <v>52650</v>
      </c>
      <c r="I2" s="77">
        <v>52640.8</v>
      </c>
      <c r="J2" s="77">
        <v>-9.2</v>
      </c>
      <c r="K2" s="77">
        <v>2007062.5</v>
      </c>
      <c r="L2" s="77">
        <v>423578.3</v>
      </c>
      <c r="M2" s="77">
        <v>3947000.82</v>
      </c>
      <c r="N2" s="77">
        <v>3947000.82</v>
      </c>
      <c r="O2" s="77">
        <v>6471886.86</v>
      </c>
      <c r="P2" s="77">
        <v>9995309.38</v>
      </c>
    </row>
    <row r="3" ht="15" customHeight="1" s="4" customFormat="1">
      <c r="A3" s="17">
        <v>45875</v>
      </c>
      <c r="B3" s="76">
        <v>102703</v>
      </c>
      <c r="C3" s="4" t="s">
        <v>20</v>
      </c>
      <c r="D3" s="76">
        <v>1</v>
      </c>
      <c r="E3" s="4" t="s">
        <v>22</v>
      </c>
      <c r="F3" s="77">
        <v>-623661.07</v>
      </c>
      <c r="G3" s="77">
        <v>-504852.3</v>
      </c>
      <c r="H3" s="76">
        <v>13150</v>
      </c>
      <c r="I3" s="77">
        <v>13147.7</v>
      </c>
      <c r="J3" s="77">
        <v>-2.3</v>
      </c>
      <c r="K3" s="77">
        <v>660487.5</v>
      </c>
      <c r="L3" s="77">
        <v>155635.2</v>
      </c>
      <c r="M3" s="77">
        <v>1450789.49</v>
      </c>
      <c r="N3" s="77">
        <v>1450789.49</v>
      </c>
      <c r="O3" s="77">
        <v>1191403.35</v>
      </c>
      <c r="P3" s="77">
        <v>2486557.64</v>
      </c>
    </row>
    <row r="4" ht="15" customHeight="1" s="4" customFormat="1">
      <c r="A4" s="17"/>
    </row>
    <row r="5" ht="15" customHeight="1" s="4" customFormat="1">
      <c r="A5" s="17"/>
    </row>
    <row r="6" ht="15" customHeight="1" s="4" customFormat="1">
      <c r="A6" s="17"/>
    </row>
    <row r="7" ht="15" customHeight="1" s="4" customFormat="1">
      <c r="A7" s="17"/>
    </row>
    <row r="8" ht="15" customHeight="1" s="4" customFormat="1">
      <c r="A8" s="17"/>
    </row>
    <row r="9" ht="15" customHeight="1" s="4" customFormat="1">
      <c r="A9" s="17"/>
    </row>
    <row r="10" ht="15" customHeight="1" s="4" customFormat="1">
      <c r="A10" s="17"/>
    </row>
    <row r="11" ht="15" customHeight="1" s="4" customFormat="1">
      <c r="A11" s="17"/>
    </row>
    <row r="12" ht="15" customHeight="1" s="4" customFormat="1">
      <c r="A12" s="17"/>
    </row>
    <row r="13" ht="15" customHeight="1" s="4" customFormat="1">
      <c r="A13" s="17"/>
    </row>
    <row r="14" ht="15" customHeight="1" s="4" customFormat="1">
      <c r="A14" s="17"/>
    </row>
    <row r="15" ht="15" customHeight="1" s="4" customFormat="1">
      <c r="A15" s="17"/>
    </row>
    <row r="16" ht="15" customHeight="1" s="4" customFormat="1">
      <c r="A16" s="17"/>
    </row>
    <row r="17" ht="15" customHeight="1" s="4" customFormat="1">
      <c r="A17" s="17"/>
    </row>
    <row r="18" ht="15" customHeight="1" s="4" customFormat="1">
      <c r="A18" s="17"/>
    </row>
    <row r="19" ht="15" customHeight="1" s="4" customFormat="1">
      <c r="A19" s="17"/>
    </row>
    <row r="20" ht="15" customHeight="1" s="4" customFormat="1">
      <c r="A20" s="17"/>
    </row>
    <row r="21" ht="15" customHeight="1" s="4" customFormat="1">
      <c r="A21" s="17"/>
    </row>
    <row r="22" ht="15" customHeight="1" s="4" customFormat="1">
      <c r="A22" s="17"/>
    </row>
    <row r="23" ht="15" customHeight="1" s="4" customFormat="1">
      <c r="A23" s="17"/>
    </row>
    <row r="24" ht="15" customHeight="1" s="4" customFormat="1">
      <c r="A24" s="17"/>
    </row>
    <row r="25" ht="15" customHeight="1" s="4" customFormat="1">
      <c r="A25" s="17"/>
    </row>
    <row r="26" ht="15" customHeight="1" s="4" customFormat="1">
      <c r="A26" s="17"/>
    </row>
    <row r="27" ht="15" customHeight="1" s="4" customFormat="1">
      <c r="A27" s="17"/>
    </row>
    <row r="28" ht="15" customHeight="1" s="4" customFormat="1">
      <c r="A28" s="17"/>
    </row>
    <row r="29" ht="15" customHeight="1" s="4" customFormat="1">
      <c r="A29" s="17"/>
    </row>
    <row r="30" ht="15" customHeight="1" s="4" customFormat="1">
      <c r="A30" s="17"/>
    </row>
    <row r="31" ht="15" customHeight="1" s="4" customFormat="1">
      <c r="A31" s="17"/>
    </row>
    <row r="32" ht="15" customHeight="1" s="4" customFormat="1">
      <c r="A32" s="17"/>
    </row>
    <row r="33" ht="15" customHeight="1" s="4" customFormat="1">
      <c r="A33" s="17"/>
    </row>
    <row r="34" ht="15" customHeight="1" s="4" customFormat="1">
      <c r="A34" s="17"/>
    </row>
    <row r="35" ht="15" customHeight="1" s="4" customFormat="1">
      <c r="A35" s="17"/>
    </row>
    <row r="36" ht="15" customHeight="1" s="4" customFormat="1">
      <c r="A36" s="17"/>
    </row>
    <row r="37" ht="15" customHeight="1" s="4" customFormat="1">
      <c r="A37" s="17"/>
    </row>
    <row r="38" ht="15" customHeight="1" s="4" customFormat="1">
      <c r="A38" s="17"/>
    </row>
    <row r="39" ht="15" customHeight="1" s="4" customFormat="1">
      <c r="A39" s="17"/>
    </row>
    <row r="40" ht="15" customHeight="1" s="4" customFormat="1">
      <c r="A40" s="17"/>
    </row>
    <row r="41" ht="15" customHeight="1" s="4" customFormat="1">
      <c r="A41" s="17"/>
    </row>
    <row r="42" ht="15" customHeight="1" s="4" customFormat="1">
      <c r="A42" s="17"/>
    </row>
    <row r="43" ht="15" customHeight="1" s="4" customFormat="1">
      <c r="A43" s="17"/>
    </row>
    <row r="44" ht="15" customHeight="1" s="4" customFormat="1">
      <c r="A44" s="17"/>
    </row>
    <row r="45" ht="15" customHeight="1" s="4" customFormat="1">
      <c r="A45" s="17"/>
    </row>
    <row r="46" ht="15" customHeight="1" s="4" customFormat="1">
      <c r="A46" s="17"/>
    </row>
    <row r="47" ht="15" customHeight="1" s="4" customFormat="1">
      <c r="A47" s="17"/>
    </row>
    <row r="48" ht="15" customHeight="1" s="4" customFormat="1">
      <c r="A48" s="17"/>
    </row>
    <row r="49" ht="15" customHeight="1" s="4" customFormat="1">
      <c r="A49" s="17"/>
    </row>
    <row r="50" ht="15" customHeight="1" s="4" customFormat="1">
      <c r="A50" s="17"/>
    </row>
    <row r="51" ht="15" customHeight="1" s="4" customFormat="1">
      <c r="A51" s="17"/>
    </row>
    <row r="52" ht="15" customHeight="1" s="4" customFormat="1">
      <c r="A52" s="17"/>
    </row>
    <row r="53" ht="15" customHeight="1" s="4" customFormat="1">
      <c r="A53" s="17"/>
    </row>
    <row r="54" ht="15" customHeight="1" s="4" customFormat="1">
      <c r="A54" s="17"/>
    </row>
    <row r="55" ht="15" customHeight="1" s="4" customFormat="1">
      <c r="A55" s="17"/>
    </row>
    <row r="56" ht="15" customHeight="1" s="4" customFormat="1">
      <c r="A56" s="17"/>
    </row>
    <row r="57" ht="15" customHeight="1" s="4" customFormat="1">
      <c r="A57" s="17"/>
    </row>
    <row r="58" ht="15" customHeight="1" s="4" customFormat="1">
      <c r="A58" s="17"/>
    </row>
    <row r="59" ht="15" customHeight="1" s="4" customFormat="1">
      <c r="A59" s="17"/>
    </row>
    <row r="60" ht="15" customHeight="1" s="4" customFormat="1">
      <c r="A60" s="17"/>
    </row>
    <row r="61" ht="15" customHeight="1" s="4" customFormat="1">
      <c r="A61" s="17"/>
    </row>
    <row r="62" ht="15" customHeight="1" s="4" customFormat="1">
      <c r="A62" s="17"/>
    </row>
    <row r="63" ht="15" customHeight="1" s="4" customFormat="1">
      <c r="A63" s="17"/>
    </row>
    <row r="64" ht="15" customHeight="1" s="4" customFormat="1">
      <c r="A64" s="17"/>
    </row>
    <row r="65" ht="15" customHeight="1" s="4" customFormat="1">
      <c r="A65" s="17"/>
    </row>
    <row r="66" ht="15" customHeight="1" s="4" customFormat="1">
      <c r="A66" s="17"/>
    </row>
    <row r="67" ht="15" customHeight="1" s="4" customFormat="1">
      <c r="A67" s="17"/>
    </row>
    <row r="68" ht="15" customHeight="1" s="4" customFormat="1">
      <c r="A68" s="17"/>
    </row>
    <row r="69" ht="15" customHeight="1" s="4" customFormat="1">
      <c r="A69" s="17"/>
    </row>
    <row r="70" ht="15" customHeight="1" s="4" customFormat="1">
      <c r="A70" s="17"/>
    </row>
    <row r="71" ht="15" customHeight="1" s="4" customFormat="1">
      <c r="A71" s="17"/>
    </row>
    <row r="72" ht="15" customHeight="1" s="4" customFormat="1">
      <c r="A72" s="17"/>
    </row>
    <row r="73" ht="15" customHeight="1" s="4" customFormat="1">
      <c r="A73" s="17"/>
    </row>
    <row r="74" ht="15" customHeight="1" s="4" customFormat="1">
      <c r="A74" s="17"/>
    </row>
    <row r="75" ht="15" customHeight="1" s="4" customFormat="1">
      <c r="A75" s="17"/>
    </row>
    <row r="76" ht="15" customHeight="1" s="4" customFormat="1">
      <c r="A76" s="17"/>
    </row>
    <row r="77" ht="15" customHeight="1" s="4" customFormat="1">
      <c r="A77" s="17"/>
    </row>
    <row r="78" ht="15" customHeight="1" s="4" customFormat="1">
      <c r="A78" s="17"/>
    </row>
    <row r="79" ht="15" customHeight="1" s="4" customFormat="1">
      <c r="A79" s="17"/>
    </row>
    <row r="80" ht="15" customHeight="1" s="4" customFormat="1">
      <c r="A80" s="17"/>
    </row>
    <row r="81" ht="15" customHeight="1" s="4" customFormat="1">
      <c r="A81" s="17"/>
    </row>
    <row r="82" ht="15" customHeight="1" s="4" customFormat="1">
      <c r="A82" s="17"/>
    </row>
    <row r="83" ht="15" customHeight="1" s="4" customFormat="1">
      <c r="A83" s="17"/>
    </row>
    <row r="84" ht="15" customHeight="1" s="4" customFormat="1">
      <c r="A84" s="17"/>
    </row>
    <row r="85" ht="15" customHeight="1" s="4" customFormat="1">
      <c r="A85" s="17"/>
    </row>
    <row r="86" ht="15" customHeight="1" s="4" customFormat="1">
      <c r="A86" s="17"/>
    </row>
    <row r="87" ht="15" customHeight="1" s="4" customFormat="1">
      <c r="A87" s="17"/>
    </row>
    <row r="88" ht="15" customHeight="1" s="4" customFormat="1">
      <c r="A88" s="17"/>
    </row>
    <row r="89" ht="15" customHeight="1" s="4" customFormat="1">
      <c r="A89" s="17"/>
    </row>
    <row r="90" ht="15" customHeight="1" s="4" customFormat="1">
      <c r="A90" s="17"/>
    </row>
    <row r="91" ht="15" customHeight="1" s="4" customFormat="1">
      <c r="A91" s="17"/>
    </row>
    <row r="92" ht="15" customHeight="1" s="4" customFormat="1">
      <c r="A92" s="17"/>
    </row>
    <row r="93" ht="15" customHeight="1" s="4" customFormat="1">
      <c r="A93" s="17"/>
    </row>
    <row r="94" ht="15" customHeight="1" s="4" customFormat="1">
      <c r="A94" s="17"/>
    </row>
    <row r="95" ht="15" customHeight="1" s="4" customFormat="1">
      <c r="A95" s="17"/>
    </row>
    <row r="96" ht="15" customHeight="1" s="4" customFormat="1">
      <c r="A96" s="17"/>
    </row>
    <row r="97" ht="15" customHeight="1" s="4" customFormat="1">
      <c r="A97" s="17"/>
    </row>
    <row r="98" ht="15" customHeight="1" s="4" customFormat="1">
      <c r="A98" s="17"/>
    </row>
    <row r="99" ht="15" customHeight="1" s="4" customFormat="1">
      <c r="A99" s="17"/>
    </row>
    <row r="100" ht="15" customHeight="1" s="4" customFormat="1">
      <c r="A100" s="17"/>
    </row>
    <row r="101" ht="15" customHeight="1" s="4" customFormat="1">
      <c r="A101" s="17"/>
    </row>
    <row r="102" ht="15" customHeight="1" s="4" customFormat="1">
      <c r="A102" s="17"/>
    </row>
    <row r="103" ht="15" customHeight="1" s="4" customFormat="1">
      <c r="A103" s="17"/>
    </row>
    <row r="104" ht="15" customHeight="1" s="4" customFormat="1">
      <c r="A104" s="17"/>
    </row>
    <row r="105" ht="15" customHeight="1" s="4" customFormat="1">
      <c r="A105" s="17"/>
    </row>
    <row r="106" ht="15" customHeight="1" s="4" customFormat="1">
      <c r="A106" s="17"/>
    </row>
    <row r="107" ht="15" customHeight="1" s="4" customFormat="1">
      <c r="A107" s="17"/>
    </row>
    <row r="108" ht="15" customHeight="1" s="4" customFormat="1">
      <c r="A108" s="17"/>
    </row>
    <row r="109" ht="15" customHeight="1" s="4" customFormat="1">
      <c r="A109" s="17"/>
    </row>
    <row r="110" ht="15" customHeight="1" s="4" customFormat="1">
      <c r="A110" s="17"/>
    </row>
    <row r="111" ht="15" customHeight="1" s="4" customFormat="1">
      <c r="A111" s="17"/>
    </row>
    <row r="112" ht="15" customHeight="1" s="4" customFormat="1">
      <c r="A112" s="17"/>
    </row>
    <row r="113" ht="15" customHeight="1" s="4" customFormat="1">
      <c r="A113" s="17"/>
    </row>
    <row r="114" ht="15" customHeight="1" s="4" customFormat="1">
      <c r="A114" s="17"/>
    </row>
    <row r="115" ht="15" customHeight="1" s="4" customFormat="1">
      <c r="A115" s="17"/>
    </row>
    <row r="116" ht="15" customHeight="1" s="4" customFormat="1">
      <c r="A116" s="17"/>
    </row>
    <row r="117" ht="15" customHeight="1" s="4" customFormat="1">
      <c r="A117" s="17"/>
    </row>
    <row r="118" ht="15" customHeight="1" s="4" customFormat="1">
      <c r="A118" s="17"/>
    </row>
    <row r="119" ht="15" customHeight="1" s="4" customFormat="1">
      <c r="A119" s="17"/>
    </row>
    <row r="120" ht="15" customHeight="1" s="4" customFormat="1">
      <c r="A120" s="17"/>
    </row>
    <row r="121" ht="15" customHeight="1" s="4" customFormat="1">
      <c r="A121" s="17"/>
    </row>
    <row r="122" ht="15" customHeight="1" s="4" customFormat="1">
      <c r="A122" s="17"/>
    </row>
    <row r="123" ht="15" customHeight="1" s="4" customFormat="1">
      <c r="A123" s="17"/>
    </row>
    <row r="124" ht="15" customHeight="1" s="4" customFormat="1">
      <c r="A124" s="17"/>
    </row>
    <row r="125" ht="15" customHeight="1" s="4" customFormat="1">
      <c r="A125" s="17"/>
    </row>
    <row r="126" ht="15" customHeight="1" s="4" customFormat="1">
      <c r="A126" s="17"/>
    </row>
    <row r="127" ht="15" customHeight="1" s="4" customFormat="1">
      <c r="A127" s="17"/>
    </row>
    <row r="128" ht="15" customHeight="1" s="4" customFormat="1">
      <c r="A128" s="17"/>
    </row>
    <row r="129" ht="15" customHeight="1" s="4" customFormat="1">
      <c r="A129" s="17"/>
    </row>
    <row r="130" ht="15" customHeight="1" s="4" customFormat="1">
      <c r="A130" s="17"/>
    </row>
    <row r="131" ht="15" customHeight="1" s="4" customFormat="1">
      <c r="A131" s="17"/>
    </row>
    <row r="132" ht="15" customHeight="1" s="4" customFormat="1">
      <c r="A132" s="17"/>
    </row>
    <row r="133" ht="15" customHeight="1" s="4" customFormat="1">
      <c r="A133" s="17"/>
    </row>
    <row r="134" ht="15" customHeight="1" s="4" customFormat="1">
      <c r="A134" s="17"/>
    </row>
    <row r="135" ht="15" customHeight="1" s="4" customFormat="1">
      <c r="A135" s="17"/>
    </row>
    <row r="136" ht="15" customHeight="1" s="4" customFormat="1">
      <c r="A136" s="17"/>
    </row>
    <row r="137" ht="15" customHeight="1" s="4" customFormat="1">
      <c r="A137" s="17"/>
    </row>
    <row r="138" ht="15" customHeight="1" s="4" customFormat="1">
      <c r="A138" s="17"/>
    </row>
    <row r="139" ht="15" customHeight="1" s="4" customFormat="1">
      <c r="A139" s="17"/>
    </row>
    <row r="140" ht="15" customHeight="1" s="4" customFormat="1">
      <c r="A140" s="17"/>
    </row>
    <row r="141" ht="15" customHeight="1" s="4" customFormat="1">
      <c r="A141" s="17"/>
    </row>
    <row r="142" ht="15" customHeight="1" s="4" customFormat="1">
      <c r="A142" s="17"/>
    </row>
    <row r="143" ht="15" customHeight="1" s="4" customFormat="1">
      <c r="A143" s="17"/>
    </row>
    <row r="144" ht="15" customHeight="1" s="4" customFormat="1">
      <c r="A144" s="17"/>
    </row>
    <row r="145" ht="15" customHeight="1" s="4" customFormat="1">
      <c r="A145" s="17"/>
    </row>
    <row r="146" ht="15" customHeight="1" s="4" customFormat="1">
      <c r="A146" s="17"/>
    </row>
    <row r="147" ht="15" customHeight="1" s="4" customFormat="1">
      <c r="A147" s="17"/>
    </row>
    <row r="148" ht="15" customHeight="1" s="4" customFormat="1">
      <c r="A148" s="17"/>
    </row>
    <row r="149" ht="15" customHeight="1" s="4" customFormat="1">
      <c r="A149" s="17"/>
    </row>
    <row r="150" ht="15" customHeight="1" s="4" customFormat="1">
      <c r="A150" s="17"/>
    </row>
    <row r="151" ht="15" customHeight="1" s="4" customFormat="1">
      <c r="A151" s="17"/>
    </row>
    <row r="152" ht="15" customHeight="1" s="4" customFormat="1">
      <c r="A152" s="17"/>
    </row>
    <row r="153" ht="15" customHeight="1" s="4" customFormat="1">
      <c r="A153" s="17"/>
    </row>
    <row r="154" ht="15" customHeight="1" s="4" customFormat="1">
      <c r="A154" s="17"/>
    </row>
    <row r="155" ht="15" customHeight="1" s="4" customFormat="1">
      <c r="A155" s="17"/>
    </row>
    <row r="156" ht="15" customHeight="1" s="4" customFormat="1">
      <c r="A156" s="17"/>
    </row>
    <row r="157" ht="15" customHeight="1" s="4" customFormat="1">
      <c r="A157" s="17"/>
    </row>
    <row r="158" ht="15" customHeight="1" s="4" customFormat="1">
      <c r="A158" s="17"/>
    </row>
    <row r="159" ht="15" customHeight="1" s="4" customFormat="1">
      <c r="A159" s="17"/>
    </row>
    <row r="160" ht="15" customHeight="1" s="4" customFormat="1">
      <c r="A160" s="17"/>
    </row>
    <row r="161" ht="15" customHeight="1" s="4" customFormat="1">
      <c r="A161" s="17"/>
    </row>
    <row r="162" ht="15" customHeight="1" s="4" customFormat="1">
      <c r="A162" s="17"/>
    </row>
    <row r="163" ht="15" customHeight="1" s="4" customFormat="1">
      <c r="A163" s="17"/>
    </row>
    <row r="164" ht="15" customHeight="1" s="4" customFormat="1">
      <c r="A164" s="17"/>
    </row>
    <row r="165" ht="15" customHeight="1" s="4" customFormat="1">
      <c r="A165" s="17"/>
    </row>
    <row r="166" ht="15" customHeight="1" s="4" customFormat="1">
      <c r="A166" s="17"/>
    </row>
    <row r="167" ht="15" customHeight="1" s="4" customFormat="1">
      <c r="A167" s="17"/>
    </row>
    <row r="168" ht="15" customHeight="1" s="4" customFormat="1">
      <c r="A168" s="17"/>
    </row>
    <row r="169" ht="15" customHeight="1" s="4" customFormat="1">
      <c r="A169" s="17"/>
    </row>
    <row r="170" ht="15" customHeight="1" s="4" customFormat="1">
      <c r="A170" s="17"/>
    </row>
    <row r="171" ht="15" customHeight="1" s="4" customFormat="1">
      <c r="A171" s="17"/>
    </row>
    <row r="172" ht="15" customHeight="1" s="4" customFormat="1">
      <c r="A172" s="17"/>
    </row>
    <row r="173" ht="15" customHeight="1" s="4" customFormat="1">
      <c r="A173" s="17"/>
    </row>
    <row r="174" ht="15" customHeight="1" s="4" customFormat="1">
      <c r="A174" s="17"/>
    </row>
    <row r="175" ht="15" customHeight="1" s="4" customFormat="1">
      <c r="A175" s="17"/>
    </row>
    <row r="176" ht="15" customHeight="1" s="4" customFormat="1">
      <c r="A176" s="17"/>
    </row>
    <row r="177" ht="15" customHeight="1" s="4" customFormat="1">
      <c r="A177" s="17"/>
    </row>
    <row r="178" ht="15" customHeight="1" s="4" customFormat="1">
      <c r="A178" s="17"/>
    </row>
    <row r="179" ht="15" customHeight="1" s="4" customFormat="1">
      <c r="A179" s="17"/>
    </row>
    <row r="180" ht="15" customHeight="1" s="4" customFormat="1">
      <c r="A180" s="17"/>
    </row>
    <row r="181" ht="15" customHeight="1" s="4" customFormat="1">
      <c r="A181" s="17"/>
    </row>
    <row r="182" ht="15" customHeight="1" s="4" customFormat="1">
      <c r="A182" s="17"/>
    </row>
    <row r="183" ht="15" customHeight="1" s="4" customFormat="1">
      <c r="A183" s="17"/>
    </row>
    <row r="184" ht="15" customHeight="1" s="4" customFormat="1">
      <c r="A184" s="17"/>
    </row>
    <row r="185" ht="15" customHeight="1" s="4" customFormat="1">
      <c r="A185" s="17"/>
    </row>
    <row r="186" ht="15" customHeight="1" s="4" customFormat="1">
      <c r="A186" s="17"/>
    </row>
    <row r="187" ht="15" customHeight="1" s="4" customFormat="1">
      <c r="A187" s="17"/>
    </row>
    <row r="188" ht="15" customHeight="1" s="4" customFormat="1">
      <c r="A188" s="17"/>
    </row>
    <row r="189" ht="15" customHeight="1" s="4" customFormat="1">
      <c r="A189" s="17"/>
    </row>
    <row r="190" ht="15" customHeight="1" s="4" customFormat="1">
      <c r="A190" s="17"/>
    </row>
    <row r="191" ht="15" customHeight="1" s="4" customFormat="1">
      <c r="A191" s="17"/>
    </row>
    <row r="192" ht="15" customHeight="1" s="4" customFormat="1">
      <c r="A192" s="17"/>
    </row>
    <row r="193" ht="15" customHeight="1" s="4" customFormat="1">
      <c r="A193" s="17"/>
    </row>
    <row r="194" ht="15" customHeight="1" s="4" customFormat="1">
      <c r="A194" s="17"/>
    </row>
    <row r="195" ht="15" customHeight="1" s="4" customFormat="1">
      <c r="A195" s="17"/>
    </row>
    <row r="196" ht="15" customHeight="1" s="4" customFormat="1">
      <c r="A196" s="17"/>
    </row>
    <row r="197" ht="15" customHeight="1" s="4" customFormat="1">
      <c r="A197" s="17"/>
    </row>
    <row r="198" ht="15" customHeight="1" s="4" customFormat="1">
      <c r="A198" s="17"/>
    </row>
    <row r="199" ht="15" customHeight="1" s="4" customFormat="1">
      <c r="A199" s="17"/>
    </row>
    <row r="200" ht="15" customHeight="1" s="4" customFormat="1">
      <c r="A200" s="17"/>
    </row>
    <row r="201" ht="15" customHeight="1" s="4" customFormat="1">
      <c r="A201" s="17"/>
    </row>
    <row r="202" ht="15" customHeight="1" s="4" customFormat="1">
      <c r="A202" s="17"/>
    </row>
    <row r="203" ht="15" customHeight="1" s="4" customFormat="1">
      <c r="A203" s="17"/>
    </row>
    <row r="204" ht="15" customHeight="1" s="4" customFormat="1">
      <c r="A204" s="17"/>
    </row>
    <row r="205" ht="15" customHeight="1" s="4" customFormat="1">
      <c r="A205" s="17"/>
    </row>
    <row r="206" ht="15" customHeight="1" s="4" customFormat="1">
      <c r="A206" s="17"/>
    </row>
    <row r="207" ht="15" customHeight="1" s="4" customFormat="1">
      <c r="A207" s="17"/>
    </row>
    <row r="208" ht="15" customHeight="1" s="4" customFormat="1">
      <c r="A208" s="17"/>
    </row>
    <row r="209" ht="15" customHeight="1" s="4" customFormat="1">
      <c r="A209" s="17"/>
    </row>
    <row r="210" ht="15" customHeight="1" s="4" customFormat="1">
      <c r="A210" s="17"/>
    </row>
    <row r="211" ht="15" customHeight="1" s="4" customFormat="1">
      <c r="A211" s="17"/>
    </row>
    <row r="212" ht="15" customHeight="1" s="4" customFormat="1">
      <c r="A212" s="17"/>
    </row>
    <row r="213" ht="15" customHeight="1" s="4" customFormat="1">
      <c r="A213" s="17"/>
    </row>
    <row r="214" ht="15" customHeight="1" s="4" customFormat="1">
      <c r="A214" s="17"/>
    </row>
    <row r="215" ht="15" customHeight="1" s="4" customFormat="1">
      <c r="A215" s="17"/>
    </row>
    <row r="216" ht="15" customHeight="1" s="4" customFormat="1">
      <c r="A216" s="17"/>
    </row>
    <row r="217" ht="15" customHeight="1" s="4" customFormat="1">
      <c r="A217" s="17"/>
    </row>
    <row r="218" ht="15" customHeight="1" s="4" customFormat="1">
      <c r="A218" s="17"/>
    </row>
    <row r="219" ht="15" customHeight="1" s="4" customFormat="1">
      <c r="A219" s="17"/>
    </row>
    <row r="220" ht="15" customHeight="1" s="4" customFormat="1">
      <c r="A220" s="17"/>
    </row>
    <row r="221" ht="15" customHeight="1" s="4" customFormat="1">
      <c r="A221" s="17"/>
    </row>
    <row r="222" ht="15" customHeight="1" s="4" customFormat="1">
      <c r="A222" s="17"/>
    </row>
    <row r="223" ht="15" customHeight="1" s="4" customFormat="1">
      <c r="A223" s="17"/>
    </row>
    <row r="224" ht="15" customHeight="1" s="4" customFormat="1">
      <c r="A224" s="17"/>
    </row>
    <row r="225" ht="15" customHeight="1" s="4" customFormat="1">
      <c r="A225" s="17"/>
    </row>
    <row r="226" ht="15" customHeight="1" s="4" customFormat="1">
      <c r="A226" s="17"/>
    </row>
    <row r="227" ht="15" customHeight="1" s="4" customFormat="1">
      <c r="A227" s="17"/>
    </row>
    <row r="228" ht="15" customHeight="1" s="4" customFormat="1">
      <c r="A228" s="17"/>
    </row>
    <row r="229" ht="15" customHeight="1" s="4" customFormat="1">
      <c r="A229" s="17"/>
    </row>
    <row r="230" ht="15" customHeight="1" s="4" customFormat="1">
      <c r="A230" s="17"/>
    </row>
    <row r="231" ht="15" customHeight="1" s="4" customFormat="1">
      <c r="A231" s="17"/>
    </row>
    <row r="232" ht="15" customHeight="1" s="4" customFormat="1">
      <c r="A232" s="17"/>
    </row>
    <row r="233" ht="15" customHeight="1" s="4" customFormat="1">
      <c r="A233" s="17"/>
    </row>
    <row r="234" ht="15" customHeight="1" s="4" customFormat="1">
      <c r="A234" s="17"/>
    </row>
    <row r="235" ht="15" customHeight="1" s="4" customFormat="1">
      <c r="A235" s="17"/>
    </row>
    <row r="236" ht="15" customHeight="1" s="4" customFormat="1">
      <c r="A236" s="17"/>
    </row>
    <row r="237" ht="15" customHeight="1" s="4" customFormat="1">
      <c r="A237" s="17"/>
    </row>
    <row r="238" ht="15" customHeight="1" s="4" customFormat="1">
      <c r="A238" s="17"/>
    </row>
    <row r="239" ht="15" customHeight="1" s="4" customFormat="1">
      <c r="A239" s="17"/>
    </row>
    <row r="240" ht="15" customHeight="1" s="4" customFormat="1">
      <c r="A240" s="17"/>
    </row>
    <row r="241" ht="15" customHeight="1" s="4" customFormat="1">
      <c r="A241" s="17"/>
    </row>
    <row r="242" ht="15" customHeight="1" s="4" customFormat="1">
      <c r="A242" s="17"/>
    </row>
    <row r="243" ht="15" customHeight="1" s="4" customFormat="1">
      <c r="A243" s="17"/>
    </row>
    <row r="244" ht="15" customHeight="1" s="4" customFormat="1">
      <c r="A244" s="17"/>
    </row>
    <row r="245" ht="15" customHeight="1" s="4" customFormat="1">
      <c r="A245" s="17"/>
    </row>
    <row r="246" ht="15" customHeight="1" s="4" customFormat="1">
      <c r="A246" s="17"/>
    </row>
    <row r="247" ht="15" customHeight="1" s="4" customFormat="1">
      <c r="A247" s="17"/>
    </row>
    <row r="248" ht="15" customHeight="1" s="4" customFormat="1">
      <c r="A248" s="17"/>
    </row>
    <row r="249" ht="15" customHeight="1" s="4" customFormat="1">
      <c r="A249" s="17"/>
    </row>
    <row r="250" ht="15" customHeight="1" s="4" customFormat="1">
      <c r="A250" s="17"/>
    </row>
    <row r="251" ht="15" customHeight="1" s="4" customFormat="1">
      <c r="A251" s="17"/>
    </row>
    <row r="252" ht="15" customHeight="1" s="4" customFormat="1">
      <c r="A252" s="17"/>
    </row>
    <row r="253" ht="15" customHeight="1" s="4" customFormat="1">
      <c r="A253" s="17"/>
    </row>
    <row r="254" ht="15" customHeight="1" s="4" customFormat="1">
      <c r="A254" s="17"/>
    </row>
    <row r="255" ht="15" customHeight="1" s="4" customFormat="1">
      <c r="A255" s="17"/>
    </row>
    <row r="256" ht="15" customHeight="1" s="4" customFormat="1">
      <c r="A256" s="17"/>
    </row>
    <row r="257" ht="15" customHeight="1" s="4" customFormat="1">
      <c r="A257" s="17"/>
    </row>
    <row r="258" ht="15" customHeight="1" s="4" customFormat="1">
      <c r="A258" s="17"/>
    </row>
    <row r="259" ht="15" customHeight="1" s="4" customFormat="1">
      <c r="A259" s="17"/>
    </row>
    <row r="260" ht="15" customHeight="1" s="4" customFormat="1">
      <c r="A260" s="17"/>
    </row>
    <row r="261" ht="15" customHeight="1" s="4" customFormat="1">
      <c r="A261" s="17"/>
    </row>
    <row r="262" ht="15" customHeight="1" s="4" customFormat="1">
      <c r="A262" s="17"/>
    </row>
    <row r="263" ht="15" customHeight="1" s="4" customFormat="1">
      <c r="A263" s="17"/>
    </row>
    <row r="264" ht="15" customHeight="1" s="4" customFormat="1">
      <c r="A264" s="17"/>
    </row>
    <row r="265" ht="15" customHeight="1" s="4" customFormat="1">
      <c r="A265" s="17"/>
    </row>
    <row r="266" ht="15" customHeight="1" s="4" customFormat="1">
      <c r="A266" s="17"/>
    </row>
    <row r="267" ht="15" customHeight="1" s="4" customFormat="1">
      <c r="A267" s="17"/>
    </row>
    <row r="268" ht="15" customHeight="1" s="4" customFormat="1">
      <c r="A268" s="17"/>
    </row>
    <row r="269" ht="15" customHeight="1" s="4" customFormat="1">
      <c r="A269" s="17"/>
    </row>
    <row r="270" ht="15" customHeight="1" s="4" customFormat="1">
      <c r="A270" s="17"/>
    </row>
    <row r="271" ht="15" customHeight="1" s="4" customFormat="1">
      <c r="A271" s="17"/>
    </row>
    <row r="272" ht="15" customHeight="1" s="4" customFormat="1">
      <c r="A272" s="17"/>
    </row>
    <row r="273" ht="15" customHeight="1" s="4" customFormat="1">
      <c r="A273" s="17"/>
    </row>
    <row r="274" ht="15" customHeight="1" s="4" customFormat="1">
      <c r="A274" s="17"/>
    </row>
    <row r="275" ht="15" customHeight="1" s="4" customFormat="1">
      <c r="A275" s="17"/>
    </row>
    <row r="276" ht="15" customHeight="1" s="4" customFormat="1">
      <c r="A276" s="17"/>
    </row>
    <row r="277" ht="15" customHeight="1" s="4" customFormat="1">
      <c r="A277" s="17"/>
    </row>
    <row r="278" ht="15" customHeight="1" s="4" customFormat="1">
      <c r="A278" s="17"/>
    </row>
    <row r="279" ht="15" customHeight="1" s="4" customFormat="1">
      <c r="A279" s="17"/>
    </row>
    <row r="280" ht="15" customHeight="1" s="4" customFormat="1">
      <c r="A280" s="17"/>
    </row>
    <row r="281" ht="15" customHeight="1" s="4" customFormat="1">
      <c r="A281" s="17"/>
    </row>
    <row r="282" ht="15" customHeight="1" s="4" customFormat="1">
      <c r="A282" s="17"/>
    </row>
    <row r="283" ht="15" customHeight="1" s="4" customFormat="1">
      <c r="A283" s="17"/>
    </row>
    <row r="284" ht="15" customHeight="1" s="4" customFormat="1">
      <c r="A284" s="17"/>
    </row>
    <row r="285" ht="15" customHeight="1" s="4" customFormat="1">
      <c r="A285" s="17"/>
    </row>
    <row r="286" ht="15" customHeight="1" s="4" customFormat="1">
      <c r="A286" s="17"/>
    </row>
    <row r="287" ht="15" customHeight="1" s="4" customFormat="1">
      <c r="A287" s="17"/>
    </row>
    <row r="288" ht="15" customHeight="1" s="4" customFormat="1">
      <c r="A288" s="17"/>
    </row>
    <row r="289" ht="15" customHeight="1" s="4" customFormat="1">
      <c r="A289" s="17"/>
    </row>
    <row r="290" ht="15" customHeight="1" s="4" customFormat="1">
      <c r="A290" s="17"/>
    </row>
    <row r="291" ht="15" customHeight="1" s="4" customFormat="1">
      <c r="A291" s="17"/>
    </row>
    <row r="292" ht="15" customHeight="1" s="4" customFormat="1">
      <c r="A292" s="17"/>
    </row>
    <row r="293" ht="15" customHeight="1" s="4" customFormat="1">
      <c r="A293" s="17"/>
    </row>
    <row r="294" ht="15" customHeight="1" s="4" customFormat="1">
      <c r="A294" s="17"/>
    </row>
    <row r="295" ht="15" customHeight="1" s="4" customFormat="1">
      <c r="A295" s="17"/>
    </row>
    <row r="296" ht="15" customHeight="1" s="4" customFormat="1">
      <c r="A296" s="17"/>
    </row>
    <row r="297" ht="15" customHeight="1" s="4" customFormat="1">
      <c r="A297" s="17"/>
    </row>
    <row r="298" ht="15" customHeight="1" s="4" customFormat="1">
      <c r="A298" s="17"/>
    </row>
    <row r="299" ht="15" customHeight="1" s="4" customFormat="1">
      <c r="A299" s="17"/>
    </row>
    <row r="300" ht="15" customHeight="1" s="4" customFormat="1">
      <c r="A300" s="17"/>
    </row>
    <row r="301" ht="15" customHeight="1" s="4" customFormat="1">
      <c r="A301" s="17"/>
    </row>
    <row r="302" ht="15" customHeight="1" s="4" customFormat="1">
      <c r="A302" s="17"/>
    </row>
    <row r="303" ht="15" customHeight="1" s="4" customFormat="1">
      <c r="A303" s="17"/>
    </row>
    <row r="304" ht="15" customHeight="1" s="4" customFormat="1">
      <c r="A304" s="17"/>
    </row>
    <row r="305" ht="15" customHeight="1" s="4" customFormat="1">
      <c r="A305" s="17"/>
    </row>
    <row r="306" ht="15" customHeight="1" s="4" customFormat="1">
      <c r="A306" s="17"/>
    </row>
    <row r="307" ht="15" customHeight="1" s="4" customFormat="1">
      <c r="A307" s="17"/>
    </row>
    <row r="308" ht="15" customHeight="1" s="4" customFormat="1">
      <c r="A308" s="17"/>
    </row>
    <row r="309" ht="15" customHeight="1" s="4" customFormat="1">
      <c r="A309" s="17"/>
    </row>
    <row r="310" ht="15" customHeight="1" s="4" customFormat="1">
      <c r="A310" s="17"/>
    </row>
    <row r="311" ht="15" customHeight="1" s="4" customFormat="1">
      <c r="A311" s="17"/>
    </row>
    <row r="312" ht="15" customHeight="1" s="4" customFormat="1">
      <c r="A312" s="17"/>
    </row>
    <row r="313" ht="15" customHeight="1" s="4" customFormat="1">
      <c r="A313" s="17"/>
    </row>
    <row r="314" ht="15" customHeight="1" s="4" customFormat="1">
      <c r="A314" s="17"/>
    </row>
    <row r="315" ht="15" customHeight="1" s="4" customFormat="1">
      <c r="A315" s="17"/>
    </row>
    <row r="316" ht="15" customHeight="1" s="4" customFormat="1">
      <c r="A316" s="17"/>
    </row>
    <row r="317" ht="15" customHeight="1" s="4" customFormat="1">
      <c r="A317" s="17"/>
    </row>
    <row r="318" ht="15" customHeight="1" s="4" customFormat="1">
      <c r="A318" s="17"/>
    </row>
    <row r="319" ht="15" customHeight="1" s="4" customFormat="1">
      <c r="A319" s="17"/>
    </row>
    <row r="320" ht="15" customHeight="1" s="4" customFormat="1">
      <c r="A320" s="17"/>
    </row>
    <row r="321" ht="15" customHeight="1" s="4" customFormat="1">
      <c r="A321" s="17"/>
    </row>
    <row r="322" ht="15" customHeight="1" s="4" customFormat="1">
      <c r="A322" s="17"/>
    </row>
    <row r="323" ht="15" customHeight="1" s="4" customFormat="1">
      <c r="A323" s="17"/>
    </row>
    <row r="324" ht="15" customHeight="1" s="4" customFormat="1">
      <c r="A324" s="17"/>
    </row>
    <row r="325" ht="15" customHeight="1" s="4" customFormat="1">
      <c r="A325" s="17"/>
    </row>
    <row r="326" ht="15" customHeight="1" s="4" customFormat="1">
      <c r="A326" s="17"/>
    </row>
    <row r="327" ht="15" customHeight="1" s="4" customFormat="1">
      <c r="A327" s="17"/>
    </row>
    <row r="328" ht="15" customHeight="1" s="4" customFormat="1">
      <c r="A328" s="17"/>
    </row>
    <row r="329" ht="15" customHeight="1" s="4" customFormat="1">
      <c r="A329" s="17"/>
    </row>
    <row r="330" ht="15" customHeight="1" s="4" customFormat="1">
      <c r="A330" s="17"/>
    </row>
    <row r="331" ht="15" customHeight="1" s="4" customFormat="1">
      <c r="A331" s="17"/>
    </row>
    <row r="332" ht="15" customHeight="1" s="4" customFormat="1">
      <c r="A332" s="17"/>
    </row>
    <row r="333" ht="15" customHeight="1" s="4" customFormat="1">
      <c r="A333" s="17"/>
    </row>
    <row r="334" ht="15" customHeight="1" s="4" customFormat="1">
      <c r="A334" s="17"/>
    </row>
    <row r="335" ht="15" customHeight="1" s="4" customFormat="1">
      <c r="A335" s="17"/>
    </row>
    <row r="336" ht="15" customHeight="1" s="4" customFormat="1">
      <c r="A336" s="17"/>
    </row>
    <row r="337" ht="15" customHeight="1" s="4" customFormat="1">
      <c r="A337" s="17"/>
    </row>
    <row r="338" ht="15" customHeight="1" s="4" customFormat="1">
      <c r="A338" s="17"/>
    </row>
    <row r="339" ht="15" customHeight="1" s="4" customFormat="1">
      <c r="A339" s="17"/>
    </row>
    <row r="340" ht="15" customHeight="1" s="4" customFormat="1">
      <c r="A340" s="17"/>
    </row>
    <row r="341" ht="15" customHeight="1" s="4" customFormat="1">
      <c r="A341" s="17"/>
    </row>
    <row r="342" ht="15" customHeight="1" s="4" customFormat="1">
      <c r="A342" s="17"/>
    </row>
    <row r="343" ht="15" customHeight="1" s="4" customFormat="1">
      <c r="A343" s="17"/>
    </row>
    <row r="344" ht="15" customHeight="1" s="4" customFormat="1">
      <c r="A344" s="17"/>
    </row>
    <row r="345" ht="15" customHeight="1" s="4" customFormat="1">
      <c r="A345" s="17"/>
    </row>
    <row r="346" ht="15" customHeight="1" s="4" customFormat="1">
      <c r="A346" s="17"/>
    </row>
    <row r="347" ht="15" customHeight="1" s="4" customFormat="1">
      <c r="A347" s="17"/>
    </row>
    <row r="348" ht="15" customHeight="1" s="4" customFormat="1">
      <c r="A348" s="17"/>
    </row>
    <row r="349" ht="15" customHeight="1" s="4" customFormat="1">
      <c r="A349" s="17"/>
    </row>
    <row r="350" ht="15" customHeight="1" s="4" customFormat="1">
      <c r="A350" s="17"/>
    </row>
    <row r="351" ht="15" customHeight="1" s="4" customFormat="1">
      <c r="A351" s="17"/>
    </row>
    <row r="352" ht="15" customHeight="1" s="4" customFormat="1">
      <c r="A352" s="17"/>
    </row>
    <row r="353" ht="15" customHeight="1" s="4" customFormat="1">
      <c r="A353" s="17"/>
    </row>
    <row r="354" ht="15" customHeight="1" s="4" customFormat="1">
      <c r="A354" s="17"/>
    </row>
    <row r="355" ht="15" customHeight="1" s="4" customFormat="1">
      <c r="A355" s="17"/>
    </row>
    <row r="356" ht="15" customHeight="1" s="4" customFormat="1">
      <c r="A356" s="17"/>
    </row>
    <row r="357" ht="15" customHeight="1" s="4" customFormat="1">
      <c r="A357" s="17"/>
    </row>
    <row r="358" ht="15" customHeight="1" s="4" customFormat="1">
      <c r="A358" s="17"/>
    </row>
    <row r="359" ht="15" customHeight="1" s="4" customFormat="1">
      <c r="A359" s="17"/>
    </row>
    <row r="360" ht="15" customHeight="1" s="4" customFormat="1">
      <c r="A360" s="17"/>
    </row>
    <row r="361" ht="15" customHeight="1" s="4" customFormat="1">
      <c r="A361" s="17"/>
    </row>
    <row r="362" ht="15" customHeight="1" s="4" customFormat="1">
      <c r="A362" s="17"/>
    </row>
    <row r="363" ht="15" customHeight="1" s="4" customFormat="1">
      <c r="A363" s="17"/>
    </row>
    <row r="364" ht="15" customHeight="1" s="4" customFormat="1">
      <c r="A364" s="17"/>
    </row>
    <row r="365" ht="15" customHeight="1" s="4" customFormat="1">
      <c r="A365" s="17"/>
    </row>
    <row r="366" ht="15" customHeight="1" s="4" customFormat="1">
      <c r="A366" s="17"/>
    </row>
    <row r="367" ht="15" customHeight="1" s="4" customFormat="1">
      <c r="A367" s="17"/>
    </row>
    <row r="368" ht="15" customHeight="1" s="4" customFormat="1">
      <c r="A368" s="17"/>
    </row>
    <row r="369" ht="15" customHeight="1" s="4" customFormat="1">
      <c r="A369" s="17"/>
    </row>
    <row r="370" ht="15" customHeight="1" s="4" customFormat="1">
      <c r="A370" s="17"/>
    </row>
    <row r="371" ht="15" customHeight="1" s="4" customFormat="1">
      <c r="A371" s="17"/>
    </row>
    <row r="372" ht="15" customHeight="1" s="4" customFormat="1">
      <c r="A372" s="17"/>
    </row>
    <row r="373" ht="15" customHeight="1" s="4" customFormat="1">
      <c r="A373" s="17"/>
    </row>
    <row r="374" ht="15" customHeight="1" s="4" customFormat="1">
      <c r="A374" s="17"/>
    </row>
    <row r="375" ht="15" customHeight="1" s="4" customFormat="1">
      <c r="A375" s="17"/>
    </row>
    <row r="376" ht="15" customHeight="1" s="4" customFormat="1">
      <c r="A376" s="17"/>
    </row>
    <row r="377" ht="15" customHeight="1" s="4" customFormat="1">
      <c r="A377" s="17"/>
    </row>
    <row r="378" ht="15" customHeight="1" s="4" customFormat="1">
      <c r="A378" s="17"/>
    </row>
    <row r="379" ht="15" customHeight="1" s="4" customFormat="1">
      <c r="A379" s="17"/>
    </row>
    <row r="380" ht="15" customHeight="1" s="4" customFormat="1">
      <c r="A380" s="17"/>
    </row>
    <row r="381" ht="15" customHeight="1" s="4" customFormat="1">
      <c r="A381" s="17"/>
    </row>
    <row r="382" ht="15" customHeight="1" s="4" customFormat="1">
      <c r="A382" s="17"/>
    </row>
    <row r="383" ht="15" customHeight="1" s="4" customFormat="1">
      <c r="A383" s="17"/>
    </row>
    <row r="384" ht="15" customHeight="1" s="4" customFormat="1">
      <c r="A384" s="17"/>
    </row>
    <row r="385" ht="15" customHeight="1" s="4" customFormat="1">
      <c r="A385" s="17"/>
    </row>
    <row r="386" ht="15" customHeight="1" s="4" customFormat="1">
      <c r="A386" s="17"/>
    </row>
    <row r="387" ht="15" customHeight="1" s="4" customFormat="1">
      <c r="A387" s="17"/>
    </row>
    <row r="388" ht="15" customHeight="1" s="4" customFormat="1">
      <c r="A388" s="17"/>
    </row>
    <row r="389" ht="15" customHeight="1" s="4" customFormat="1">
      <c r="A389" s="17"/>
    </row>
    <row r="390" ht="15" customHeight="1" s="4" customFormat="1">
      <c r="A390" s="17"/>
    </row>
    <row r="391" ht="15" customHeight="1" s="4" customFormat="1">
      <c r="A391" s="17"/>
    </row>
    <row r="392" ht="15" customHeight="1" s="4" customFormat="1">
      <c r="A392" s="17"/>
    </row>
    <row r="393" ht="15" customHeight="1" s="4" customFormat="1">
      <c r="A393" s="17"/>
    </row>
    <row r="394" ht="15" customHeight="1" s="4" customFormat="1">
      <c r="A394" s="17"/>
    </row>
    <row r="395" ht="15" customHeight="1" s="4" customFormat="1">
      <c r="A395" s="17"/>
    </row>
    <row r="396" ht="15" customHeight="1" s="4" customFormat="1">
      <c r="A396" s="17"/>
    </row>
    <row r="397" ht="15" customHeight="1" s="4" customFormat="1">
      <c r="A397" s="17"/>
    </row>
    <row r="398" ht="15" customHeight="1" s="4" customFormat="1">
      <c r="A398" s="17"/>
    </row>
    <row r="399" ht="15" customHeight="1" s="4" customFormat="1">
      <c r="A399" s="17"/>
    </row>
    <row r="400" ht="15" customHeight="1" s="4" customFormat="1">
      <c r="A400" s="17"/>
    </row>
    <row r="401" ht="15" customHeight="1" s="4" customFormat="1">
      <c r="A401" s="17"/>
    </row>
    <row r="402" ht="15" customHeight="1" s="4" customFormat="1">
      <c r="A402" s="17"/>
    </row>
    <row r="403" ht="15" customHeight="1" s="4" customFormat="1">
      <c r="A403" s="17"/>
    </row>
    <row r="404" ht="15" customHeight="1" s="4" customFormat="1">
      <c r="A404" s="17"/>
    </row>
    <row r="405" ht="15" customHeight="1" s="4" customFormat="1">
      <c r="A405" s="17"/>
    </row>
    <row r="406" ht="15" customHeight="1" s="4" customFormat="1">
      <c r="A406" s="17"/>
    </row>
    <row r="407" ht="15" customHeight="1" s="4" customFormat="1">
      <c r="A407" s="17"/>
    </row>
    <row r="408" ht="15" customHeight="1" s="4" customFormat="1">
      <c r="A408" s="17"/>
    </row>
    <row r="409" ht="15" customHeight="1" s="4" customFormat="1">
      <c r="A409" s="17"/>
    </row>
    <row r="410" ht="15" customHeight="1" s="4" customFormat="1">
      <c r="A410" s="17"/>
    </row>
    <row r="411" ht="15" customHeight="1" s="4" customFormat="1">
      <c r="A411" s="17"/>
    </row>
    <row r="412" ht="15" customHeight="1" s="4" customFormat="1">
      <c r="A412" s="17"/>
    </row>
    <row r="413" ht="15" customHeight="1" s="4" customFormat="1">
      <c r="A413" s="17"/>
    </row>
    <row r="414" ht="15" customHeight="1" s="4" customFormat="1">
      <c r="A414" s="17"/>
    </row>
    <row r="415" ht="15" customHeight="1" s="4" customFormat="1">
      <c r="A415" s="17"/>
    </row>
    <row r="416" ht="15" customHeight="1" s="4" customFormat="1">
      <c r="A416" s="17"/>
    </row>
    <row r="417" ht="15" customHeight="1" s="4" customFormat="1">
      <c r="A417" s="17"/>
    </row>
    <row r="418" ht="15" customHeight="1" s="4" customFormat="1">
      <c r="A418" s="17"/>
    </row>
    <row r="419" ht="15" customHeight="1" s="4" customFormat="1">
      <c r="A419" s="17"/>
    </row>
    <row r="420" ht="15" customHeight="1" s="4" customFormat="1">
      <c r="A420" s="17"/>
    </row>
    <row r="421" ht="15" customHeight="1" s="4" customFormat="1">
      <c r="A421" s="17"/>
    </row>
    <row r="422" ht="15" customHeight="1" s="4" customFormat="1">
      <c r="A422" s="17"/>
    </row>
    <row r="423" ht="15" customHeight="1" s="4" customFormat="1">
      <c r="A423" s="17"/>
    </row>
    <row r="424" ht="15" customHeight="1" s="4" customFormat="1">
      <c r="A424" s="17"/>
    </row>
    <row r="425" ht="15" customHeight="1" s="4" customFormat="1">
      <c r="A425" s="17"/>
    </row>
    <row r="426" ht="15" customHeight="1" s="4" customFormat="1">
      <c r="A426" s="17"/>
    </row>
    <row r="427" ht="15" customHeight="1" s="4" customFormat="1">
      <c r="A427" s="17"/>
    </row>
    <row r="428" ht="15" customHeight="1" s="4" customFormat="1">
      <c r="A428" s="17"/>
    </row>
    <row r="429" ht="15" customHeight="1" s="4" customFormat="1">
      <c r="A429" s="17"/>
    </row>
    <row r="430" ht="15" customHeight="1" s="4" customFormat="1">
      <c r="A430" s="17"/>
    </row>
    <row r="431" ht="15" customHeight="1" s="4" customFormat="1">
      <c r="A431" s="17"/>
    </row>
    <row r="432" ht="15" customHeight="1" s="4" customFormat="1">
      <c r="A432" s="17"/>
    </row>
    <row r="433" ht="15" customHeight="1" s="4" customFormat="1">
      <c r="A433" s="17"/>
    </row>
    <row r="434" ht="15" customHeight="1" s="4" customFormat="1">
      <c r="A434" s="17"/>
    </row>
    <row r="435" ht="15" customHeight="1" s="4" customFormat="1">
      <c r="A435" s="17"/>
    </row>
    <row r="436" ht="15" customHeight="1" s="4" customFormat="1">
      <c r="A436" s="17"/>
    </row>
    <row r="437" ht="15" customHeight="1" s="4" customFormat="1">
      <c r="A437" s="17"/>
    </row>
    <row r="438" ht="15" customHeight="1" s="4" customFormat="1">
      <c r="A438" s="17"/>
    </row>
    <row r="439" ht="15" customHeight="1" s="4" customFormat="1">
      <c r="A439" s="17"/>
    </row>
    <row r="440" ht="15" customHeight="1" s="4" customFormat="1">
      <c r="A440" s="17"/>
    </row>
    <row r="441" ht="15" customHeight="1" s="4" customFormat="1">
      <c r="A441" s="17"/>
    </row>
    <row r="442" ht="15" customHeight="1" s="4" customFormat="1">
      <c r="A442" s="17"/>
    </row>
    <row r="443" ht="15" customHeight="1" s="4" customFormat="1">
      <c r="A443" s="17"/>
    </row>
    <row r="444" ht="15" customHeight="1" s="4" customFormat="1">
      <c r="A444" s="17"/>
    </row>
    <row r="445" ht="15" customHeight="1" s="4" customFormat="1">
      <c r="A445" s="17"/>
    </row>
    <row r="446" ht="15" customHeight="1" s="4" customFormat="1">
      <c r="A446" s="17"/>
    </row>
    <row r="447" ht="15" customHeight="1" s="4" customFormat="1">
      <c r="A447" s="17"/>
    </row>
    <row r="448" ht="15" customHeight="1" s="4" customFormat="1">
      <c r="A448" s="17"/>
    </row>
    <row r="449" ht="15" customHeight="1" s="4" customFormat="1">
      <c r="A449" s="17"/>
    </row>
    <row r="450" ht="15" customHeight="1" s="4" customFormat="1">
      <c r="A450" s="17"/>
    </row>
    <row r="451" ht="15" customHeight="1" s="4" customFormat="1">
      <c r="A451" s="17"/>
    </row>
    <row r="452" ht="15" customHeight="1" s="4" customFormat="1">
      <c r="A452" s="17"/>
    </row>
    <row r="453" ht="15" customHeight="1" s="4" customFormat="1">
      <c r="A453" s="17"/>
    </row>
    <row r="454" ht="15" customHeight="1" s="4" customFormat="1">
      <c r="A454" s="17"/>
    </row>
    <row r="455" ht="15" customHeight="1" s="4" customFormat="1">
      <c r="A455" s="17"/>
    </row>
    <row r="456" ht="15" customHeight="1" s="4" customFormat="1">
      <c r="A456" s="17"/>
    </row>
    <row r="457" ht="15" customHeight="1" s="4" customFormat="1">
      <c r="A457" s="17"/>
    </row>
    <row r="458" ht="15" customHeight="1" s="4" customFormat="1">
      <c r="A458" s="17"/>
    </row>
    <row r="459" ht="15" customHeight="1" s="4" customFormat="1">
      <c r="A459" s="17"/>
    </row>
    <row r="460" ht="15" customHeight="1" s="4" customFormat="1">
      <c r="A460" s="17"/>
    </row>
    <row r="461" ht="15" customHeight="1" s="4" customFormat="1">
      <c r="A461" s="17"/>
    </row>
    <row r="462" ht="15" customHeight="1" s="4" customFormat="1">
      <c r="A462" s="17"/>
    </row>
    <row r="463" ht="15" customHeight="1" s="4" customFormat="1">
      <c r="A463" s="17"/>
    </row>
    <row r="464" ht="15" customHeight="1" s="4" customFormat="1">
      <c r="A464" s="17"/>
    </row>
    <row r="465" ht="15" customHeight="1" s="4" customFormat="1">
      <c r="A465" s="17"/>
    </row>
    <row r="466" ht="15" customHeight="1" s="4" customFormat="1">
      <c r="A466" s="17"/>
    </row>
    <row r="467" ht="15" customHeight="1" s="4" customFormat="1">
      <c r="A467" s="17"/>
    </row>
    <row r="468" ht="15" customHeight="1" s="4" customFormat="1">
      <c r="A468" s="17"/>
    </row>
    <row r="469" ht="15" customHeight="1" s="4" customFormat="1">
      <c r="A469" s="17"/>
    </row>
    <row r="470" ht="15" customHeight="1" s="4" customFormat="1">
      <c r="A470" s="17"/>
    </row>
    <row r="471" ht="15" customHeight="1" s="4" customFormat="1">
      <c r="A471" s="17"/>
    </row>
    <row r="472" ht="15" customHeight="1" s="4" customFormat="1">
      <c r="A472" s="17"/>
    </row>
    <row r="473" ht="15" customHeight="1" s="4" customFormat="1">
      <c r="A473" s="17"/>
    </row>
    <row r="474" ht="15" customHeight="1" s="4" customFormat="1">
      <c r="A474" s="17"/>
    </row>
    <row r="475" ht="15" customHeight="1" s="4" customFormat="1">
      <c r="A475" s="17"/>
    </row>
    <row r="476" ht="15" customHeight="1" s="4" customFormat="1">
      <c r="A476" s="17"/>
    </row>
    <row r="477" ht="15" customHeight="1" s="4" customFormat="1">
      <c r="A477" s="17"/>
    </row>
    <row r="478" ht="15" customHeight="1" s="4" customFormat="1">
      <c r="A478" s="17"/>
    </row>
    <row r="479" ht="15" customHeight="1" s="4" customFormat="1">
      <c r="A479" s="17"/>
    </row>
    <row r="480" ht="15" customHeight="1" s="4" customFormat="1">
      <c r="A480" s="17"/>
    </row>
    <row r="481" ht="15" customHeight="1" s="4" customFormat="1">
      <c r="A481" s="17"/>
    </row>
    <row r="482" ht="15" customHeight="1" s="4" customFormat="1">
      <c r="A482" s="17"/>
    </row>
    <row r="483" ht="15" customHeight="1" s="4" customFormat="1">
      <c r="A483" s="17"/>
    </row>
    <row r="484" ht="15" customHeight="1" s="4" customFormat="1">
      <c r="A484" s="17"/>
    </row>
    <row r="485" ht="15" customHeight="1" s="4" customFormat="1">
      <c r="A485" s="17"/>
    </row>
    <row r="486" ht="15" customHeight="1" s="4" customFormat="1">
      <c r="A486" s="17"/>
    </row>
    <row r="487" ht="15" customHeight="1" s="4" customFormat="1">
      <c r="A487" s="17"/>
    </row>
    <row r="488" ht="15" customHeight="1" s="4" customFormat="1">
      <c r="A488" s="17"/>
    </row>
    <row r="489" ht="15" customHeight="1" s="4" customFormat="1">
      <c r="A489" s="17"/>
    </row>
    <row r="490" ht="15" customHeight="1" s="4" customFormat="1">
      <c r="A490" s="17"/>
    </row>
    <row r="491" ht="15" customHeight="1" s="4" customFormat="1">
      <c r="A491" s="17"/>
    </row>
    <row r="492" ht="15" customHeight="1" s="4" customFormat="1">
      <c r="A492" s="17"/>
    </row>
    <row r="493" ht="15" customHeight="1" s="4" customFormat="1">
      <c r="A493" s="17"/>
    </row>
    <row r="494" ht="15" customHeight="1" s="4" customFormat="1">
      <c r="A494" s="17"/>
    </row>
    <row r="495" ht="15" customHeight="1" s="4" customFormat="1">
      <c r="A495" s="17"/>
    </row>
    <row r="496" ht="15" customHeight="1" s="4" customFormat="1">
      <c r="A496" s="17"/>
    </row>
    <row r="497" ht="15" customHeight="1" s="4" customFormat="1">
      <c r="A497" s="17"/>
    </row>
    <row r="498" ht="15" customHeight="1" s="4" customFormat="1">
      <c r="A498" s="17"/>
    </row>
    <row r="499" ht="15" customHeight="1" s="4" customFormat="1">
      <c r="A499" s="17"/>
    </row>
    <row r="500" ht="15" customHeight="1" s="4" customFormat="1">
      <c r="A500" s="17"/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A3301B-AA07-44DD-B986-6D520D7DCD1F}">
  <sheetPr codeName="Sheet5"/>
  <dimension ref="A1:U26"/>
  <sheetViews>
    <sheetView workbookViewId="0">
      <selection activeCell="D6" sqref="D6"/>
    </sheetView>
  </sheetViews>
  <sheetFormatPr defaultRowHeight="14.4" x14ac:dyDescent="0.3"/>
  <cols>
    <col min="1" max="1" bestFit="1" width="12.33203125" customWidth="1" style="4"/>
    <col min="2" max="2" bestFit="1" width="8.109375" customWidth="1" style="4"/>
    <col min="3" max="3" bestFit="1" width="13.44140625" customWidth="1" style="4"/>
    <col min="4" max="4" bestFit="1" width="10.6640625" customWidth="1" style="4"/>
    <col min="5" max="5" bestFit="1" width="16.33203125" customWidth="1" style="4"/>
    <col min="6" max="6" bestFit="1" width="13.44140625" customWidth="1" style="4"/>
    <col min="7" max="7" bestFit="1" width="13.44140625" customWidth="1" style="4"/>
    <col min="8" max="8" bestFit="1" width="21.88671875" customWidth="1" style="4"/>
    <col min="9" max="9" bestFit="1" width="16.109375" customWidth="1" style="4"/>
    <col min="10" max="10" bestFit="1" width="13.5546875" customWidth="1" style="18"/>
    <col min="11" max="11" bestFit="1" width="8.109375" customWidth="1" style="4"/>
    <col min="12" max="12" bestFit="1" width="30.44140625" customWidth="1" style="4"/>
    <col min="13" max="13" bestFit="1" width="23.44140625" customWidth="1" style="4"/>
    <col min="14" max="14" bestFit="1" width="12.88671875" customWidth="1" style="4"/>
    <col min="15" max="15" bestFit="1" width="16.33203125" customWidth="1" style="4"/>
    <col min="16" max="16" bestFit="1" width="12.5546875" customWidth="1" style="4"/>
    <col min="17" max="17" bestFit="1" width="15.44140625" customWidth="1" style="4"/>
    <col min="18" max="18" bestFit="1" width="16.109375" customWidth="1" style="4"/>
    <col min="19" max="19" bestFit="1" width="13.5546875" customWidth="1" style="19"/>
    <col min="20" max="20" width="9.140625" customWidth="1"/>
    <col min="21" max="21" width="9.140625" customWidth="1"/>
  </cols>
  <sheetData>
    <row r="1" ht="72.6" customHeight="1" s="4" customFormat="1">
      <c r="A1" s="4" t="s">
        <v>60</v>
      </c>
      <c r="C1" s="20" t="s">
        <v>61</v>
      </c>
      <c r="D1" s="21" t="s">
        <v>62</v>
      </c>
      <c r="E1" s="22" t="s">
        <v>63</v>
      </c>
      <c r="F1" s="23" t="s">
        <v>64</v>
      </c>
      <c r="G1" s="21" t="s">
        <v>65</v>
      </c>
      <c r="H1" s="21" t="s">
        <v>66</v>
      </c>
      <c r="I1" s="24" t="s">
        <v>67</v>
      </c>
      <c r="J1" s="25" t="s">
        <v>68</v>
      </c>
      <c r="K1" s="4" t="s">
        <v>69</v>
      </c>
      <c r="L1" s="20" t="s">
        <v>61</v>
      </c>
      <c r="M1" s="21" t="s">
        <v>62</v>
      </c>
      <c r="N1" s="22" t="s">
        <v>63</v>
      </c>
      <c r="O1" s="23" t="s">
        <v>64</v>
      </c>
      <c r="P1" s="21" t="s">
        <v>65</v>
      </c>
      <c r="Q1" s="21" t="s">
        <v>66</v>
      </c>
      <c r="R1" s="24" t="s">
        <v>67</v>
      </c>
      <c r="S1" s="25" t="s">
        <v>68</v>
      </c>
    </row>
    <row r="2" ht="15" customHeight="1" s="4" customFormat="1">
      <c r="A2" s="26">
        <v>45183</v>
      </c>
      <c r="B2" s="27" t="s">
        <v>70</v>
      </c>
      <c r="C2" s="28">
        <v>-7463.12</v>
      </c>
      <c r="D2" s="29">
        <v>-4.5</v>
      </c>
      <c r="E2" s="29">
        <v>0</v>
      </c>
      <c r="F2" s="30">
        <f>SUM(D2:E2)</f>
        <v>-4.5</v>
      </c>
      <c r="G2" s="28">
        <v>258992.91</v>
      </c>
      <c r="H2" s="29">
        <v>251525.29</v>
      </c>
      <c r="I2" s="28">
        <v>187495.20900000312</v>
      </c>
      <c r="J2" s="31">
        <v>439020.4990000031</v>
      </c>
      <c r="K2" s="27" t="s">
        <v>71</v>
      </c>
      <c r="L2" s="28">
        <v>-2106.42</v>
      </c>
      <c r="M2" s="29">
        <v>-2.25</v>
      </c>
      <c r="N2" s="29">
        <v>0</v>
      </c>
      <c r="O2" s="30">
        <v>-2.25</v>
      </c>
      <c r="P2" s="28">
        <v>29094.6</v>
      </c>
      <c r="Q2" s="29">
        <v>26985.93</v>
      </c>
      <c r="R2" s="28">
        <v>20961.825000000317</v>
      </c>
      <c r="S2" s="31">
        <v>47947.75500000032</v>
      </c>
    </row>
    <row r="3" ht="15" customHeight="1" s="4" customFormat="1">
      <c r="A3" s="26">
        <v>45184</v>
      </c>
      <c r="B3" s="27" t="s">
        <v>70</v>
      </c>
      <c r="C3" s="28">
        <f>H2</f>
        <v>251525.29</v>
      </c>
      <c r="D3" s="29">
        <v>-139.7</v>
      </c>
      <c r="E3" s="29">
        <v>-114485.1</v>
      </c>
      <c r="F3" s="30">
        <f>SUM(D3:E3)</f>
        <v>-114624.8</v>
      </c>
      <c r="G3" s="28">
        <f>-J2</f>
        <v>-439020.4990000031</v>
      </c>
      <c r="H3" s="29">
        <f>SUM(C3+F3+G3)</f>
        <v>-302120.0090000031</v>
      </c>
      <c r="I3" s="28">
        <v>-375419.387</v>
      </c>
      <c r="J3" s="31">
        <f>SUM(H3:I3)</f>
        <v>-677539.3960000031</v>
      </c>
      <c r="K3" s="27" t="s">
        <v>71</v>
      </c>
      <c r="L3" s="28">
        <v>26985.93</v>
      </c>
      <c r="M3" s="29">
        <v>-85.5</v>
      </c>
      <c r="N3" s="29">
        <v>0</v>
      </c>
      <c r="O3" s="28">
        <f>SUM(M3:N3)</f>
        <v>-85.5</v>
      </c>
      <c r="P3" s="28">
        <f>-S2</f>
        <v>-47947.75500000032</v>
      </c>
      <c r="Q3" s="29">
        <f>SUM(L3+O3+P3)</f>
        <v>-21047.325000000317</v>
      </c>
      <c r="R3" s="28">
        <v>-53138.17500000005</v>
      </c>
      <c r="S3" s="31">
        <f>SUM(Q3:R3)</f>
        <v>-74185.50000000036</v>
      </c>
    </row>
    <row r="4" ht="15" customHeight="1" s="4" customFormat="1">
      <c r="A4" s="26">
        <v>45187</v>
      </c>
      <c r="B4" s="27" t="s">
        <v>70</v>
      </c>
      <c r="C4" s="28">
        <f>H3</f>
        <v>-302120.0090000031</v>
      </c>
      <c r="D4" s="29">
        <v>-13.5</v>
      </c>
      <c r="E4" s="29">
        <v>0</v>
      </c>
      <c r="F4" s="30">
        <f>SUM(D4:E4)</f>
        <v>-13.5</v>
      </c>
      <c r="G4" s="28">
        <f>-J3</f>
        <v>677539.3960000031</v>
      </c>
      <c r="H4" s="29">
        <f>SUM(C4+F4+G4)</f>
        <v>375405.887</v>
      </c>
      <c r="I4" s="28">
        <v>-345569.38700000575</v>
      </c>
      <c r="J4" s="31">
        <f>SUM(H4:I4)</f>
        <v>29836.499999994237</v>
      </c>
      <c r="K4" s="27" t="s">
        <v>71</v>
      </c>
      <c r="L4" s="28">
        <f>Q3</f>
        <v>-21047.325000000317</v>
      </c>
      <c r="M4" s="29">
        <v>-4.5</v>
      </c>
      <c r="N4" s="29">
        <v>0</v>
      </c>
      <c r="O4" s="28">
        <f>SUM(M4:N4)</f>
        <v>-4.5</v>
      </c>
      <c r="P4" s="28">
        <f>-S3</f>
        <v>74185.50000000036</v>
      </c>
      <c r="Q4" s="29">
        <f>SUM(L4+O4+P4)</f>
        <v>53133.67500000005</v>
      </c>
      <c r="R4" s="28">
        <v>-42388.17500000105</v>
      </c>
      <c r="S4" s="31">
        <f>SUM(Q4:R4)</f>
        <v>10745.499999998996</v>
      </c>
    </row>
    <row r="5" ht="15" customHeight="1" s="4" customFormat="1">
      <c r="A5" s="26">
        <v>45188</v>
      </c>
      <c r="B5" s="27" t="s">
        <v>70</v>
      </c>
      <c r="C5" s="28">
        <f>H4</f>
        <v>375405.887</v>
      </c>
      <c r="D5" s="29">
        <v>-134.28</v>
      </c>
      <c r="E5" s="29">
        <f>SUMIF('Purchase&amp;Sales'!$C:$C,'VM'!$A$1,'Purchase&amp;Sales'!$P:$P)</f>
        <v>0</v>
      </c>
      <c r="F5" s="30">
        <f>SUM(D5:E5)</f>
        <v>-134.28</v>
      </c>
      <c r="G5" s="28">
        <f>-J4</f>
        <v>-29836.499999994237</v>
      </c>
      <c r="H5" s="29">
        <f>SUM(C5+F5+G5)</f>
        <v>345435.1070000057</v>
      </c>
      <c r="I5" s="28">
        <v>-452369.38699999766</v>
      </c>
      <c r="J5" s="32">
        <f>SUM(H5:I5)</f>
        <v>-106934.27999999194</v>
      </c>
      <c r="K5" s="27" t="s">
        <v>71</v>
      </c>
      <c r="L5" s="28">
        <f>Q4</f>
        <v>53133.67500000005</v>
      </c>
      <c r="M5" s="29">
        <v>0</v>
      </c>
      <c r="N5" s="29">
        <v>0</v>
      </c>
      <c r="O5" s="28">
        <f>SUM(M5:N5)</f>
        <v>0</v>
      </c>
      <c r="P5" s="28">
        <f>-S4</f>
        <v>-10745.499999998996</v>
      </c>
      <c r="Q5" s="29">
        <f>SUM(L5+O5+P5)</f>
        <v>42388.17500000105</v>
      </c>
      <c r="R5" s="28">
        <v>-80338.17500000105</v>
      </c>
      <c r="S5" s="32">
        <f>SUM(Q5:R5)</f>
        <v>-37950</v>
      </c>
      <c r="U5" s="4" t="s">
        <v>72</v>
      </c>
    </row>
    <row r="6" ht="15" customHeight="1" s="4" customFormat="1">
      <c r="A6" s="26">
        <v>45189</v>
      </c>
      <c r="B6" s="27" t="s">
        <v>70</v>
      </c>
      <c r="C6" s="28">
        <v>341351.05700000573</v>
      </c>
      <c r="D6" s="29">
        <v>-4.5</v>
      </c>
      <c r="E6" s="29">
        <v>-4084.0499999999884</v>
      </c>
      <c r="F6" s="30">
        <v>-4088.5499999999884</v>
      </c>
      <c r="G6" s="28">
        <v>111018.32999999193</v>
      </c>
      <c r="H6" s="29">
        <v>448280.8369999977</v>
      </c>
      <c r="I6" s="28">
        <v>-853810.3329999995</v>
      </c>
      <c r="J6" s="31">
        <v>-405529.49600000185</v>
      </c>
      <c r="K6" s="27" t="s">
        <v>71</v>
      </c>
      <c r="L6" s="28">
        <v>42388.17500000105</v>
      </c>
      <c r="M6" s="29">
        <v>-4.5</v>
      </c>
      <c r="N6" s="29">
        <v>0</v>
      </c>
      <c r="O6" s="28">
        <v>-4.5</v>
      </c>
      <c r="P6" s="28">
        <v>37950</v>
      </c>
      <c r="Q6" s="29">
        <v>80333.67500000105</v>
      </c>
      <c r="R6" s="28">
        <v>-227613.17500000133</v>
      </c>
      <c r="S6" s="31">
        <v>-147279.5000000003</v>
      </c>
    </row>
    <row r="7" ht="15" customHeight="1" s="4" customFormat="1">
      <c r="B7" s="27" t="s">
        <v>70</v>
      </c>
      <c r="C7" s="28">
        <f>H6</f>
        <v>448280.8369999977</v>
      </c>
      <c r="D7" s="29">
        <f>(SUMIF('Confirmed Trades'!$B:$B,'VM'!$A$1,'Confirmed Trades'!$P:$P))+SUMIF('Confirmed Trades'!$B:$B,'VM'!$A$1,'Confirmed Trades'!$Q:$Q)</f>
        <v>0</v>
      </c>
      <c r="E7" s="29">
        <f>SUMIF('Purchase&amp;Sales'!$C:$C,'VM'!$A$1,'Purchase&amp;Sales'!$P:$P)</f>
        <v>0</v>
      </c>
      <c r="F7" s="30">
        <f>SUM(D7:E7)</f>
        <v>0</v>
      </c>
      <c r="G7" s="28">
        <f>-J6</f>
        <v>405529.49600000185</v>
      </c>
      <c r="H7" s="29">
        <f>SUM(C7+F7+G7)</f>
        <v>853810.3329999995</v>
      </c>
      <c r="I7" s="28" t="e">
        <f>'CALC'!$N$5</f>
        <v>#NAME?</v>
      </c>
      <c r="J7" s="31" t="e">
        <f>SUM(H7:I7)</f>
        <v>#NAME?</v>
      </c>
      <c r="K7" s="27" t="s">
        <v>71</v>
      </c>
      <c r="L7" s="28">
        <f>Q6</f>
        <v>80333.67500000105</v>
      </c>
      <c r="M7" s="29">
        <f>(SUMIF('Confirmed Trades'!$B:$B,'VM'!$K$1,'Confirmed Trades'!$P:$P))+SUMIF('Confirmed Trades'!$B:$B,'VM'!$K$1,'Confirmed Trades'!$Q:$Q)</f>
        <v>0</v>
      </c>
      <c r="N7" s="29">
        <f>SUMIF('Purchase&amp;Sales'!$C:$C,'VM'!$K$1,'Purchase&amp;Sales'!$Q:$Q)</f>
        <v>0</v>
      </c>
      <c r="O7" s="28">
        <f>SUM(M7:N7)</f>
        <v>0</v>
      </c>
      <c r="P7" s="28">
        <f>-S6</f>
        <v>147279.5000000003</v>
      </c>
      <c r="Q7" s="29">
        <f>SUM(L7+O7+P7)</f>
        <v>227613.17500000133</v>
      </c>
      <c r="R7" s="28" t="e">
        <f>'CALC'!$R$5</f>
        <v>#NAME?</v>
      </c>
      <c r="S7" s="31" t="e">
        <f>SUM(Q7:R7)</f>
        <v>#NAME?</v>
      </c>
    </row>
    <row r="8" ht="15" customHeight="1" s="4" customFormat="1">
      <c r="B8" s="27" t="s">
        <v>70</v>
      </c>
      <c r="C8" s="28">
        <f>H7</f>
        <v>853810.3329999995</v>
      </c>
      <c r="D8" s="29">
        <f>(SUMIF('Confirmed Trades'!$B:$B,'VM'!$A$1,'Confirmed Trades'!$P:$P))+SUMIF('Confirmed Trades'!$B:$B,'VM'!$A$1,'Confirmed Trades'!$Q:$Q)</f>
        <v>0</v>
      </c>
      <c r="E8" s="29">
        <f>SUMIF('Purchase&amp;Sales'!$C:$C,'VM'!$A$1,'Purchase&amp;Sales'!$P:$P)</f>
        <v>0</v>
      </c>
      <c r="F8" s="30">
        <f>SUM(D8:E8)</f>
        <v>0</v>
      </c>
      <c r="G8" s="28" t="e">
        <f>-J7</f>
        <v>#NAME?</v>
      </c>
      <c r="H8" s="29" t="e">
        <f>SUM(C8+F8+G8)</f>
        <v>#NAME?</v>
      </c>
      <c r="I8" s="28" t="e">
        <f>'CALC'!$N$5</f>
        <v>#NAME?</v>
      </c>
      <c r="J8" s="31" t="e">
        <f>SUM(H8:I8)</f>
        <v>#NAME?</v>
      </c>
      <c r="K8" s="27" t="s">
        <v>71</v>
      </c>
      <c r="L8" s="28">
        <f>Q7</f>
        <v>227613.17500000133</v>
      </c>
      <c r="M8" s="29">
        <f>(SUMIF('Confirmed Trades'!$B:$B,'VM'!$K$1,'Confirmed Trades'!$P:$P))+SUMIF('Confirmed Trades'!$B:$B,'VM'!$K$1,'Confirmed Trades'!$Q:$Q)</f>
        <v>0</v>
      </c>
      <c r="N8" s="29">
        <f>SUMIF('Purchase&amp;Sales'!$C:$C,'VM'!$K$1,'Purchase&amp;Sales'!$Q:$Q)</f>
        <v>0</v>
      </c>
      <c r="O8" s="28">
        <f>SUM(M8:N8)</f>
        <v>0</v>
      </c>
      <c r="P8" s="28" t="e">
        <f>-S7</f>
        <v>#NAME?</v>
      </c>
      <c r="Q8" s="29" t="e">
        <f>SUM(L8+O8+P8)</f>
        <v>#NAME?</v>
      </c>
      <c r="R8" s="28" t="e">
        <f>'CALC'!$R$5</f>
        <v>#NAME?</v>
      </c>
      <c r="S8" s="31" t="e">
        <f>SUM(Q8:R8)</f>
        <v>#NAME?</v>
      </c>
    </row>
    <row r="9" ht="15" customHeight="1" s="4" customFormat="1">
      <c r="B9" s="27" t="s">
        <v>70</v>
      </c>
      <c r="C9" s="28" t="e">
        <f>H8</f>
        <v>#NAME?</v>
      </c>
      <c r="D9" s="29">
        <f>(SUMIF('Confirmed Trades'!$B:$B,'VM'!$A$1,'Confirmed Trades'!$P:$P))+SUMIF('Confirmed Trades'!$B:$B,'VM'!$A$1,'Confirmed Trades'!$Q:$Q)</f>
        <v>0</v>
      </c>
      <c r="E9" s="29">
        <f>SUMIF('Purchase&amp;Sales'!$C:$C,'VM'!$A$1,'Purchase&amp;Sales'!$P:$P)</f>
        <v>0</v>
      </c>
      <c r="F9" s="30">
        <f>SUM(D9:E9)</f>
        <v>0</v>
      </c>
      <c r="G9" s="28" t="e">
        <f>-J8</f>
        <v>#NAME?</v>
      </c>
      <c r="H9" s="29" t="e">
        <f>SUM(C9+F9+G9)</f>
        <v>#NAME?</v>
      </c>
      <c r="I9" s="28" t="e">
        <f>'CALC'!$N$5</f>
        <v>#NAME?</v>
      </c>
      <c r="J9" s="31" t="e">
        <f>SUM(H9:I9)</f>
        <v>#NAME?</v>
      </c>
      <c r="K9" s="27" t="s">
        <v>71</v>
      </c>
      <c r="L9" s="28" t="e">
        <f>Q8</f>
        <v>#NAME?</v>
      </c>
      <c r="M9" s="29">
        <f>(SUMIF('Confirmed Trades'!$B:$B,'VM'!$K$1,'Confirmed Trades'!$P:$P))+SUMIF('Confirmed Trades'!$B:$B,'VM'!$K$1,'Confirmed Trades'!$Q:$Q)</f>
        <v>0</v>
      </c>
      <c r="N9" s="29">
        <f>SUMIF('Purchase&amp;Sales'!$C:$C,'VM'!$K$1,'Purchase&amp;Sales'!$Q:$Q)</f>
        <v>0</v>
      </c>
      <c r="O9" s="28">
        <f>SUM(M9:N9)</f>
        <v>0</v>
      </c>
      <c r="P9" s="28" t="e">
        <f>-S8</f>
        <v>#NAME?</v>
      </c>
      <c r="Q9" s="29" t="e">
        <f>SUM(L9+O9+P9)</f>
        <v>#NAME?</v>
      </c>
      <c r="R9" s="28" t="e">
        <f>'CALC'!$R$5</f>
        <v>#NAME?</v>
      </c>
      <c r="S9" s="31" t="e">
        <f>SUM(Q9:R9)</f>
        <v>#NAME?</v>
      </c>
    </row>
    <row r="10" ht="15" customHeight="1" s="4" customFormat="1">
      <c r="B10" s="27" t="s">
        <v>70</v>
      </c>
      <c r="C10" s="28" t="e">
        <f>H9</f>
        <v>#NAME?</v>
      </c>
      <c r="D10" s="29">
        <f>(SUMIF('Confirmed Trades'!$B:$B,'VM'!$A$1,'Confirmed Trades'!$P:$P))+SUMIF('Confirmed Trades'!$B:$B,'VM'!$A$1,'Confirmed Trades'!$Q:$Q)</f>
        <v>0</v>
      </c>
      <c r="E10" s="29">
        <f>SUMIF('Purchase&amp;Sales'!$C:$C,'VM'!$A$1,'Purchase&amp;Sales'!$P:$P)</f>
        <v>0</v>
      </c>
      <c r="F10" s="30">
        <f>SUM(D10:E10)</f>
        <v>0</v>
      </c>
      <c r="G10" s="28" t="e">
        <f>-J9</f>
        <v>#NAME?</v>
      </c>
      <c r="H10" s="29" t="e">
        <f>SUM(C10+F10+G10)</f>
        <v>#NAME?</v>
      </c>
      <c r="I10" s="28" t="e">
        <f>'CALC'!$N$5</f>
        <v>#NAME?</v>
      </c>
      <c r="J10" s="31" t="e">
        <f>SUM(H10:I10)</f>
        <v>#NAME?</v>
      </c>
      <c r="K10" s="27" t="s">
        <v>71</v>
      </c>
      <c r="L10" s="28" t="e">
        <f>Q9</f>
        <v>#NAME?</v>
      </c>
      <c r="M10" s="29">
        <f>(SUMIF('Confirmed Trades'!$B:$B,'VM'!$K$1,'Confirmed Trades'!$P:$P))+SUMIF('Confirmed Trades'!$B:$B,'VM'!$K$1,'Confirmed Trades'!$Q:$Q)</f>
        <v>0</v>
      </c>
      <c r="N10" s="29">
        <f>SUMIF('Purchase&amp;Sales'!$C:$C,'VM'!$K$1,'Purchase&amp;Sales'!$Q:$Q)</f>
        <v>0</v>
      </c>
      <c r="O10" s="28">
        <f>SUM(M10:N10)</f>
        <v>0</v>
      </c>
      <c r="P10" s="28" t="e">
        <f>-S9</f>
        <v>#NAME?</v>
      </c>
      <c r="Q10" s="29" t="e">
        <f>SUM(L10+O10+P10)</f>
        <v>#NAME?</v>
      </c>
      <c r="R10" s="28" t="e">
        <f>'CALC'!$R$5</f>
        <v>#NAME?</v>
      </c>
      <c r="S10" s="31" t="e">
        <f>SUM(Q10:R10)</f>
        <v>#NAME?</v>
      </c>
    </row>
    <row r="11" ht="15" customHeight="1" s="4" customFormat="1">
      <c r="B11" s="27" t="s">
        <v>70</v>
      </c>
      <c r="C11" s="28" t="e">
        <f>H10</f>
        <v>#NAME?</v>
      </c>
      <c r="D11" s="29">
        <f>(SUMIF('Confirmed Trades'!$B:$B,'VM'!$A$1,'Confirmed Trades'!$P:$P))+SUMIF('Confirmed Trades'!$B:$B,'VM'!$A$1,'Confirmed Trades'!$Q:$Q)</f>
        <v>0</v>
      </c>
      <c r="E11" s="29">
        <f>SUMIF('Purchase&amp;Sales'!$C:$C,'VM'!$A$1,'Purchase&amp;Sales'!$P:$P)</f>
        <v>0</v>
      </c>
      <c r="F11" s="30">
        <f>SUM(D11:E11)</f>
        <v>0</v>
      </c>
      <c r="G11" s="28" t="e">
        <f>-J10</f>
        <v>#NAME?</v>
      </c>
      <c r="H11" s="29" t="e">
        <f>SUM(C11+F11+G11)</f>
        <v>#NAME?</v>
      </c>
      <c r="I11" s="28" t="e">
        <f>'CALC'!$N$5</f>
        <v>#NAME?</v>
      </c>
      <c r="J11" s="31" t="e">
        <f>SUM(H11:I11)</f>
        <v>#NAME?</v>
      </c>
      <c r="K11" s="27" t="s">
        <v>71</v>
      </c>
      <c r="L11" s="28" t="e">
        <f>Q10</f>
        <v>#NAME?</v>
      </c>
      <c r="M11" s="29">
        <f>(SUMIF('Confirmed Trades'!$B:$B,'VM'!$K$1,'Confirmed Trades'!$P:$P))+SUMIF('Confirmed Trades'!$B:$B,'VM'!$K$1,'Confirmed Trades'!$Q:$Q)</f>
        <v>0</v>
      </c>
      <c r="N11" s="29">
        <f>SUMIF('Purchase&amp;Sales'!$C:$C,'VM'!$K$1,'Purchase&amp;Sales'!$Q:$Q)</f>
        <v>0</v>
      </c>
      <c r="O11" s="28">
        <f>SUM(M11:N11)</f>
        <v>0</v>
      </c>
      <c r="P11" s="28" t="e">
        <f>-S10</f>
        <v>#NAME?</v>
      </c>
      <c r="Q11" s="29" t="e">
        <f>SUM(L11+O11+P11)</f>
        <v>#NAME?</v>
      </c>
      <c r="R11" s="28" t="e">
        <f>'CALC'!$R$5</f>
        <v>#NAME?</v>
      </c>
      <c r="S11" s="31" t="e">
        <f>SUM(Q11:R11)</f>
        <v>#NAME?</v>
      </c>
    </row>
    <row r="12" ht="15" customHeight="1" s="4" customFormat="1">
      <c r="B12" s="27" t="s">
        <v>70</v>
      </c>
      <c r="C12" s="28" t="e">
        <f>H11</f>
        <v>#NAME?</v>
      </c>
      <c r="D12" s="29">
        <f>(SUMIF('Confirmed Trades'!$B:$B,'VM'!$A$1,'Confirmed Trades'!$P:$P))+SUMIF('Confirmed Trades'!$B:$B,'VM'!$A$1,'Confirmed Trades'!$Q:$Q)</f>
        <v>0</v>
      </c>
      <c r="E12" s="29">
        <f>SUMIF('Purchase&amp;Sales'!$C:$C,'VM'!$A$1,'Purchase&amp;Sales'!$P:$P)</f>
        <v>0</v>
      </c>
      <c r="F12" s="30">
        <f>SUM(D12:E12)</f>
        <v>0</v>
      </c>
      <c r="G12" s="28" t="e">
        <f>-J11</f>
        <v>#NAME?</v>
      </c>
      <c r="H12" s="29" t="e">
        <f>SUM(C12+F12+G12)</f>
        <v>#NAME?</v>
      </c>
      <c r="I12" s="28" t="e">
        <f>'CALC'!$N$5</f>
        <v>#NAME?</v>
      </c>
      <c r="J12" s="31" t="e">
        <f>SUM(H12:I12)</f>
        <v>#NAME?</v>
      </c>
      <c r="K12" s="27" t="s">
        <v>71</v>
      </c>
      <c r="L12" s="28" t="e">
        <f>Q11</f>
        <v>#NAME?</v>
      </c>
      <c r="M12" s="29">
        <f>(SUMIF('Confirmed Trades'!$B:$B,'VM'!$K$1,'Confirmed Trades'!$P:$P))+SUMIF('Confirmed Trades'!$B:$B,'VM'!$K$1,'Confirmed Trades'!$Q:$Q)</f>
        <v>0</v>
      </c>
      <c r="N12" s="29">
        <f>SUMIF('Purchase&amp;Sales'!$C:$C,'VM'!$K$1,'Purchase&amp;Sales'!$Q:$Q)</f>
        <v>0</v>
      </c>
      <c r="O12" s="28">
        <f>SUM(M12:N12)</f>
        <v>0</v>
      </c>
      <c r="P12" s="28" t="e">
        <f>-S11</f>
        <v>#NAME?</v>
      </c>
      <c r="Q12" s="29" t="e">
        <f>SUM(L12+O12+P12)</f>
        <v>#NAME?</v>
      </c>
      <c r="R12" s="28" t="e">
        <f>'CALC'!$R$5</f>
        <v>#NAME?</v>
      </c>
      <c r="S12" s="31" t="e">
        <f>SUM(Q12:R12)</f>
        <v>#NAME?</v>
      </c>
    </row>
    <row r="13" ht="15" customHeight="1" s="4" customFormat="1">
      <c r="B13" s="27" t="s">
        <v>70</v>
      </c>
      <c r="C13" s="28" t="e">
        <f>H12</f>
        <v>#NAME?</v>
      </c>
      <c r="D13" s="29">
        <f>(SUMIF('Confirmed Trades'!$B:$B,'VM'!$A$1,'Confirmed Trades'!$P:$P))+SUMIF('Confirmed Trades'!$B:$B,'VM'!$A$1,'Confirmed Trades'!$Q:$Q)</f>
        <v>0</v>
      </c>
      <c r="E13" s="29">
        <f>SUMIF('Purchase&amp;Sales'!$C:$C,'VM'!$A$1,'Purchase&amp;Sales'!$P:$P)</f>
        <v>0</v>
      </c>
      <c r="F13" s="30">
        <f>SUM(D13:E13)</f>
        <v>0</v>
      </c>
      <c r="G13" s="28" t="e">
        <f>-J12</f>
        <v>#NAME?</v>
      </c>
      <c r="H13" s="29" t="e">
        <f>SUM(C13+F13+G13)</f>
        <v>#NAME?</v>
      </c>
      <c r="I13" s="28" t="e">
        <f>'CALC'!$N$5</f>
        <v>#NAME?</v>
      </c>
      <c r="J13" s="31" t="e">
        <f>SUM(H13:I13)</f>
        <v>#NAME?</v>
      </c>
      <c r="K13" s="27" t="s">
        <v>71</v>
      </c>
      <c r="L13" s="28" t="e">
        <f>Q12</f>
        <v>#NAME?</v>
      </c>
      <c r="M13" s="29">
        <f>(SUMIF('Confirmed Trades'!$B:$B,'VM'!$K$1,'Confirmed Trades'!$P:$P))+SUMIF('Confirmed Trades'!$B:$B,'VM'!$K$1,'Confirmed Trades'!$Q:$Q)</f>
        <v>0</v>
      </c>
      <c r="N13" s="29">
        <f>SUMIF('Purchase&amp;Sales'!$C:$C,'VM'!$K$1,'Purchase&amp;Sales'!$Q:$Q)</f>
        <v>0</v>
      </c>
      <c r="O13" s="28">
        <f>SUM(M13:N13)</f>
        <v>0</v>
      </c>
      <c r="P13" s="28" t="e">
        <f>-S12</f>
        <v>#NAME?</v>
      </c>
      <c r="Q13" s="29" t="e">
        <f>SUM(L13+O13+P13)</f>
        <v>#NAME?</v>
      </c>
      <c r="R13" s="28" t="e">
        <f>'CALC'!$R$5</f>
        <v>#NAME?</v>
      </c>
      <c r="S13" s="31" t="e">
        <f>SUM(Q13:R13)</f>
        <v>#NAME?</v>
      </c>
    </row>
    <row r="14" ht="15" customHeight="1" s="4" customFormat="1">
      <c r="B14" s="27" t="s">
        <v>70</v>
      </c>
      <c r="C14" s="28" t="e">
        <f>H13</f>
        <v>#NAME?</v>
      </c>
      <c r="D14" s="29">
        <f>(SUMIF('Confirmed Trades'!$B:$B,'VM'!$A$1,'Confirmed Trades'!$P:$P))+SUMIF('Confirmed Trades'!$B:$B,'VM'!$A$1,'Confirmed Trades'!$Q:$Q)</f>
        <v>0</v>
      </c>
      <c r="E14" s="29">
        <f>SUMIF('Purchase&amp;Sales'!$C:$C,'VM'!$A$1,'Purchase&amp;Sales'!$P:$P)</f>
        <v>0</v>
      </c>
      <c r="F14" s="30">
        <f>SUM(D14:E14)</f>
        <v>0</v>
      </c>
      <c r="G14" s="28" t="e">
        <f>-J13</f>
        <v>#NAME?</v>
      </c>
      <c r="H14" s="29" t="e">
        <f>SUM(C14+F14+G14)</f>
        <v>#NAME?</v>
      </c>
      <c r="I14" s="28" t="e">
        <f>'CALC'!$N$5</f>
        <v>#NAME?</v>
      </c>
      <c r="J14" s="31" t="e">
        <f>SUM(H14:I14)</f>
        <v>#NAME?</v>
      </c>
      <c r="K14" s="27" t="s">
        <v>71</v>
      </c>
      <c r="L14" s="28" t="e">
        <f>Q13</f>
        <v>#NAME?</v>
      </c>
      <c r="M14" s="29">
        <f>(SUMIF('Confirmed Trades'!$B:$B,'VM'!$K$1,'Confirmed Trades'!$P:$P))+SUMIF('Confirmed Trades'!$B:$B,'VM'!$K$1,'Confirmed Trades'!$Q:$Q)</f>
        <v>0</v>
      </c>
      <c r="N14" s="29">
        <f>SUMIF('Purchase&amp;Sales'!$C:$C,'VM'!$K$1,'Purchase&amp;Sales'!$Q:$Q)</f>
        <v>0</v>
      </c>
      <c r="O14" s="28">
        <f>SUM(M14:N14)</f>
        <v>0</v>
      </c>
      <c r="P14" s="28" t="e">
        <f>-S13</f>
        <v>#NAME?</v>
      </c>
      <c r="Q14" s="29" t="e">
        <f>SUM(L14+O14+P14)</f>
        <v>#NAME?</v>
      </c>
      <c r="R14" s="28" t="e">
        <f>'CALC'!$R$5</f>
        <v>#NAME?</v>
      </c>
      <c r="S14" s="31" t="e">
        <f>SUM(Q14:R14)</f>
        <v>#NAME?</v>
      </c>
    </row>
    <row r="15" ht="15" customHeight="1" s="4" customFormat="1">
      <c r="B15" s="27" t="s">
        <v>70</v>
      </c>
      <c r="C15" s="28" t="e">
        <f>H14</f>
        <v>#NAME?</v>
      </c>
      <c r="D15" s="29">
        <f>(SUMIF('Confirmed Trades'!$B:$B,'VM'!$A$1,'Confirmed Trades'!$P:$P))+SUMIF('Confirmed Trades'!$B:$B,'VM'!$A$1,'Confirmed Trades'!$Q:$Q)</f>
        <v>0</v>
      </c>
      <c r="E15" s="29">
        <f>SUMIF('Purchase&amp;Sales'!$C:$C,'VM'!$A$1,'Purchase&amp;Sales'!$P:$P)</f>
        <v>0</v>
      </c>
      <c r="F15" s="30">
        <f>SUM(D15:E15)</f>
        <v>0</v>
      </c>
      <c r="G15" s="28" t="e">
        <f>-J14</f>
        <v>#NAME?</v>
      </c>
      <c r="H15" s="29" t="e">
        <f>SUM(C15+F15+G15)</f>
        <v>#NAME?</v>
      </c>
      <c r="I15" s="28" t="e">
        <f>'CALC'!$N$5</f>
        <v>#NAME?</v>
      </c>
      <c r="J15" s="31" t="e">
        <f>SUM(H15:I15)</f>
        <v>#NAME?</v>
      </c>
      <c r="K15" s="27" t="s">
        <v>71</v>
      </c>
      <c r="L15" s="28" t="e">
        <f>Q14</f>
        <v>#NAME?</v>
      </c>
      <c r="M15" s="29">
        <f>(SUMIF('Confirmed Trades'!$B:$B,'VM'!$K$1,'Confirmed Trades'!$P:$P))+SUMIF('Confirmed Trades'!$B:$B,'VM'!$K$1,'Confirmed Trades'!$Q:$Q)</f>
        <v>0</v>
      </c>
      <c r="N15" s="29">
        <f>SUMIF('Purchase&amp;Sales'!$C:$C,'VM'!$K$1,'Purchase&amp;Sales'!$Q:$Q)</f>
        <v>0</v>
      </c>
      <c r="O15" s="28">
        <f>SUM(M15:N15)</f>
        <v>0</v>
      </c>
      <c r="P15" s="28" t="e">
        <f>-S14</f>
        <v>#NAME?</v>
      </c>
      <c r="Q15" s="29" t="e">
        <f>SUM(L15+O15+P15)</f>
        <v>#NAME?</v>
      </c>
      <c r="R15" s="28" t="e">
        <f>'CALC'!$R$5</f>
        <v>#NAME?</v>
      </c>
      <c r="S15" s="31" t="e">
        <f>SUM(Q15:R15)</f>
        <v>#NAME?</v>
      </c>
    </row>
    <row r="16" ht="15" customHeight="1" s="4" customFormat="1">
      <c r="B16" s="27" t="s">
        <v>70</v>
      </c>
      <c r="C16" s="28" t="e">
        <f>H15</f>
        <v>#NAME?</v>
      </c>
      <c r="D16" s="29">
        <f>(SUMIF('Confirmed Trades'!$B:$B,'VM'!$A$1,'Confirmed Trades'!$P:$P))+SUMIF('Confirmed Trades'!$B:$B,'VM'!$A$1,'Confirmed Trades'!$Q:$Q)</f>
        <v>0</v>
      </c>
      <c r="E16" s="29">
        <f>SUMIF('Purchase&amp;Sales'!$C:$C,'VM'!$A$1,'Purchase&amp;Sales'!$P:$P)</f>
        <v>0</v>
      </c>
      <c r="F16" s="30">
        <f>SUM(D16:E16)</f>
        <v>0</v>
      </c>
      <c r="G16" s="28" t="e">
        <f>-J15</f>
        <v>#NAME?</v>
      </c>
      <c r="H16" s="29" t="e">
        <f>SUM(C16+F16+G16)</f>
        <v>#NAME?</v>
      </c>
      <c r="I16" s="28" t="e">
        <f>'CALC'!$N$5</f>
        <v>#NAME?</v>
      </c>
      <c r="J16" s="31" t="e">
        <f>SUM(H16:I16)</f>
        <v>#NAME?</v>
      </c>
      <c r="K16" s="27" t="s">
        <v>71</v>
      </c>
      <c r="L16" s="28" t="e">
        <f>Q15</f>
        <v>#NAME?</v>
      </c>
      <c r="M16" s="29">
        <f>(SUMIF('Confirmed Trades'!$B:$B,'VM'!$K$1,'Confirmed Trades'!$P:$P))+SUMIF('Confirmed Trades'!$B:$B,'VM'!$K$1,'Confirmed Trades'!$Q:$Q)</f>
        <v>0</v>
      </c>
      <c r="N16" s="29">
        <f>SUMIF('Purchase&amp;Sales'!$C:$C,'VM'!$K$1,'Purchase&amp;Sales'!$Q:$Q)</f>
        <v>0</v>
      </c>
      <c r="O16" s="28">
        <f>SUM(M16:N16)</f>
        <v>0</v>
      </c>
      <c r="P16" s="28" t="e">
        <f>-S15</f>
        <v>#NAME?</v>
      </c>
      <c r="Q16" s="29" t="e">
        <f>SUM(L16+O16+P16)</f>
        <v>#NAME?</v>
      </c>
      <c r="R16" s="28" t="e">
        <f>'CALC'!$R$5</f>
        <v>#NAME?</v>
      </c>
      <c r="S16" s="31" t="e">
        <f>SUM(Q16:R16)</f>
        <v>#NAME?</v>
      </c>
    </row>
    <row r="17" ht="15" customHeight="1" s="4" customFormat="1">
      <c r="B17" s="27" t="s">
        <v>70</v>
      </c>
      <c r="C17" s="28" t="e">
        <f>H16</f>
        <v>#NAME?</v>
      </c>
      <c r="D17" s="29">
        <f>(SUMIF('Confirmed Trades'!$B:$B,'VM'!$A$1,'Confirmed Trades'!$P:$P))+SUMIF('Confirmed Trades'!$B:$B,'VM'!$A$1,'Confirmed Trades'!$Q:$Q)</f>
        <v>0</v>
      </c>
      <c r="E17" s="29">
        <f>SUMIF('Purchase&amp;Sales'!$C:$C,'VM'!$A$1,'Purchase&amp;Sales'!$P:$P)</f>
        <v>0</v>
      </c>
      <c r="F17" s="30">
        <f>SUM(D17:E17)</f>
        <v>0</v>
      </c>
      <c r="G17" s="28" t="e">
        <f>-J16</f>
        <v>#NAME?</v>
      </c>
      <c r="H17" s="29" t="e">
        <f>SUM(C17+F17+G17)</f>
        <v>#NAME?</v>
      </c>
      <c r="I17" s="28" t="e">
        <f>'CALC'!$N$5</f>
        <v>#NAME?</v>
      </c>
      <c r="J17" s="31" t="e">
        <f>SUM(H17:I17)</f>
        <v>#NAME?</v>
      </c>
      <c r="K17" s="27" t="s">
        <v>71</v>
      </c>
      <c r="L17" s="28" t="e">
        <f>Q16</f>
        <v>#NAME?</v>
      </c>
      <c r="M17" s="29">
        <f>(SUMIF('Confirmed Trades'!$B:$B,'VM'!$K$1,'Confirmed Trades'!$P:$P))+SUMIF('Confirmed Trades'!$B:$B,'VM'!$K$1,'Confirmed Trades'!$Q:$Q)</f>
        <v>0</v>
      </c>
      <c r="N17" s="29">
        <f>SUMIF('Purchase&amp;Sales'!$C:$C,'VM'!$K$1,'Purchase&amp;Sales'!$Q:$Q)</f>
        <v>0</v>
      </c>
      <c r="O17" s="28">
        <f>SUM(M17:N17)</f>
        <v>0</v>
      </c>
      <c r="P17" s="28" t="e">
        <f>-S16</f>
        <v>#NAME?</v>
      </c>
      <c r="Q17" s="29" t="e">
        <f>SUM(L17+O17+P17)</f>
        <v>#NAME?</v>
      </c>
      <c r="R17" s="28" t="e">
        <f>'CALC'!$R$5</f>
        <v>#NAME?</v>
      </c>
      <c r="S17" s="31" t="e">
        <f>SUM(Q17:R17)</f>
        <v>#NAME?</v>
      </c>
    </row>
    <row r="18" ht="15" customHeight="1" s="4" customFormat="1">
      <c r="B18" s="27" t="s">
        <v>70</v>
      </c>
      <c r="C18" s="28" t="e">
        <f>H17</f>
        <v>#NAME?</v>
      </c>
      <c r="D18" s="29">
        <f>(SUMIF('Confirmed Trades'!$B:$B,'VM'!$A$1,'Confirmed Trades'!$P:$P))+SUMIF('Confirmed Trades'!$B:$B,'VM'!$A$1,'Confirmed Trades'!$Q:$Q)</f>
        <v>0</v>
      </c>
      <c r="E18" s="29">
        <f>SUMIF('Purchase&amp;Sales'!$C:$C,'VM'!$A$1,'Purchase&amp;Sales'!$P:$P)</f>
        <v>0</v>
      </c>
      <c r="F18" s="30">
        <f>SUM(D18:E18)</f>
        <v>0</v>
      </c>
      <c r="G18" s="28" t="e">
        <f>-J17</f>
        <v>#NAME?</v>
      </c>
      <c r="H18" s="29" t="e">
        <f>SUM(C18+F18+G18)</f>
        <v>#NAME?</v>
      </c>
      <c r="I18" s="28" t="e">
        <f>'CALC'!$N$5</f>
        <v>#NAME?</v>
      </c>
      <c r="J18" s="31" t="e">
        <f>SUM(H18:I18)</f>
        <v>#NAME?</v>
      </c>
      <c r="K18" s="27" t="s">
        <v>71</v>
      </c>
      <c r="L18" s="28" t="e">
        <f>Q17</f>
        <v>#NAME?</v>
      </c>
      <c r="M18" s="29">
        <f>(SUMIF('Confirmed Trades'!$B:$B,'VM'!$K$1,'Confirmed Trades'!$P:$P))+SUMIF('Confirmed Trades'!$B:$B,'VM'!$K$1,'Confirmed Trades'!$Q:$Q)</f>
        <v>0</v>
      </c>
      <c r="N18" s="29">
        <f>SUMIF('Purchase&amp;Sales'!$C:$C,'VM'!$K$1,'Purchase&amp;Sales'!$Q:$Q)</f>
        <v>0</v>
      </c>
      <c r="O18" s="28">
        <f>SUM(M18:N18)</f>
        <v>0</v>
      </c>
      <c r="P18" s="28" t="e">
        <f>-S17</f>
        <v>#NAME?</v>
      </c>
      <c r="Q18" s="29" t="e">
        <f>SUM(L18+O18+P18)</f>
        <v>#NAME?</v>
      </c>
      <c r="R18" s="28" t="e">
        <f>'CALC'!$R$5</f>
        <v>#NAME?</v>
      </c>
      <c r="S18" s="31" t="e">
        <f>SUM(Q18:R18)</f>
        <v>#NAME?</v>
      </c>
    </row>
    <row r="19" ht="15" customHeight="1" s="4" customFormat="1">
      <c r="B19" s="27" t="s">
        <v>70</v>
      </c>
      <c r="C19" s="28" t="e">
        <f>H18</f>
        <v>#NAME?</v>
      </c>
      <c r="D19" s="29">
        <f>(SUMIF('Confirmed Trades'!$B:$B,'VM'!$A$1,'Confirmed Trades'!$P:$P))+SUMIF('Confirmed Trades'!$B:$B,'VM'!$A$1,'Confirmed Trades'!$Q:$Q)</f>
        <v>0</v>
      </c>
      <c r="E19" s="29">
        <f>SUMIF('Purchase&amp;Sales'!$C:$C,'VM'!$A$1,'Purchase&amp;Sales'!$P:$P)</f>
        <v>0</v>
      </c>
      <c r="F19" s="30">
        <f>SUM(D19:E19)</f>
        <v>0</v>
      </c>
      <c r="G19" s="28" t="e">
        <f>-J18</f>
        <v>#NAME?</v>
      </c>
      <c r="H19" s="29" t="e">
        <f>SUM(C19+F19+G19)</f>
        <v>#NAME?</v>
      </c>
      <c r="I19" s="28" t="e">
        <f>'CALC'!$N$5</f>
        <v>#NAME?</v>
      </c>
      <c r="J19" s="31" t="e">
        <f>SUM(H19:I19)</f>
        <v>#NAME?</v>
      </c>
      <c r="K19" s="27" t="s">
        <v>71</v>
      </c>
      <c r="L19" s="28" t="e">
        <f>Q18</f>
        <v>#NAME?</v>
      </c>
      <c r="M19" s="29">
        <f>(SUMIF('Confirmed Trades'!$B:$B,'VM'!$K$1,'Confirmed Trades'!$P:$P))+SUMIF('Confirmed Trades'!$B:$B,'VM'!$K$1,'Confirmed Trades'!$Q:$Q)</f>
        <v>0</v>
      </c>
      <c r="N19" s="29">
        <f>SUMIF('Purchase&amp;Sales'!$C:$C,'VM'!$K$1,'Purchase&amp;Sales'!$Q:$Q)</f>
        <v>0</v>
      </c>
      <c r="O19" s="28">
        <f>SUM(M19:N19)</f>
        <v>0</v>
      </c>
      <c r="P19" s="28" t="e">
        <f>-S18</f>
        <v>#NAME?</v>
      </c>
      <c r="Q19" s="29" t="e">
        <f>SUM(L19+O19+P19)</f>
        <v>#NAME?</v>
      </c>
      <c r="R19" s="28" t="e">
        <f>'CALC'!$R$5</f>
        <v>#NAME?</v>
      </c>
      <c r="S19" s="31" t="e">
        <f>SUM(Q19:R19)</f>
        <v>#NAME?</v>
      </c>
    </row>
    <row r="20" ht="15" customHeight="1" s="4" customFormat="1">
      <c r="B20" s="27" t="s">
        <v>70</v>
      </c>
      <c r="C20" s="28" t="e">
        <f>H19</f>
        <v>#NAME?</v>
      </c>
      <c r="D20" s="29">
        <f>(SUMIF('Confirmed Trades'!$B:$B,'VM'!$A$1,'Confirmed Trades'!$P:$P))+SUMIF('Confirmed Trades'!$B:$B,'VM'!$A$1,'Confirmed Trades'!$Q:$Q)</f>
        <v>0</v>
      </c>
      <c r="E20" s="29">
        <f>SUMIF('Purchase&amp;Sales'!$C:$C,'VM'!$A$1,'Purchase&amp;Sales'!$P:$P)</f>
        <v>0</v>
      </c>
      <c r="F20" s="30">
        <f>SUM(D20:E20)</f>
        <v>0</v>
      </c>
      <c r="G20" s="28" t="e">
        <f>-J19</f>
        <v>#NAME?</v>
      </c>
      <c r="H20" s="29" t="e">
        <f>SUM(C20+F20+G20)</f>
        <v>#NAME?</v>
      </c>
      <c r="I20" s="28" t="e">
        <f>'CALC'!$N$5</f>
        <v>#NAME?</v>
      </c>
      <c r="J20" s="31" t="e">
        <f>SUM(H20:I20)</f>
        <v>#NAME?</v>
      </c>
      <c r="K20" s="27" t="s">
        <v>71</v>
      </c>
      <c r="L20" s="28" t="e">
        <f>Q19</f>
        <v>#NAME?</v>
      </c>
      <c r="M20" s="29">
        <f>(SUMIF('Confirmed Trades'!$B:$B,'VM'!$K$1,'Confirmed Trades'!$P:$P))+SUMIF('Confirmed Trades'!$B:$B,'VM'!$K$1,'Confirmed Trades'!$Q:$Q)</f>
        <v>0</v>
      </c>
      <c r="N20" s="29">
        <f>SUMIF('Purchase&amp;Sales'!$C:$C,'VM'!$K$1,'Purchase&amp;Sales'!$Q:$Q)</f>
        <v>0</v>
      </c>
      <c r="O20" s="28">
        <f>SUM(M20:N20)</f>
        <v>0</v>
      </c>
      <c r="P20" s="28" t="e">
        <f>-S19</f>
        <v>#NAME?</v>
      </c>
      <c r="Q20" s="29" t="e">
        <f>SUM(L20+O20+P20)</f>
        <v>#NAME?</v>
      </c>
      <c r="R20" s="28" t="e">
        <f>'CALC'!$R$5</f>
        <v>#NAME?</v>
      </c>
      <c r="S20" s="31" t="e">
        <f>SUM(Q20:R20)</f>
        <v>#NAME?</v>
      </c>
    </row>
    <row r="21" ht="15" customHeight="1" s="4" customFormat="1">
      <c r="B21" s="27" t="s">
        <v>70</v>
      </c>
      <c r="C21" s="28" t="e">
        <f>H20</f>
        <v>#NAME?</v>
      </c>
      <c r="D21" s="29">
        <f>(SUMIF('Confirmed Trades'!$B:$B,'VM'!$A$1,'Confirmed Trades'!$P:$P))+SUMIF('Confirmed Trades'!$B:$B,'VM'!$A$1,'Confirmed Trades'!$Q:$Q)</f>
        <v>0</v>
      </c>
      <c r="E21" s="29">
        <f>SUMIF('Purchase&amp;Sales'!$C:$C,'VM'!$A$1,'Purchase&amp;Sales'!$P:$P)</f>
        <v>0</v>
      </c>
      <c r="F21" s="30">
        <f>SUM(D21:E21)</f>
        <v>0</v>
      </c>
      <c r="G21" s="28" t="e">
        <f>-J20</f>
        <v>#NAME?</v>
      </c>
      <c r="H21" s="29" t="e">
        <f>SUM(C21+F21+G21)</f>
        <v>#NAME?</v>
      </c>
      <c r="I21" s="28" t="e">
        <f>'CALC'!$N$5</f>
        <v>#NAME?</v>
      </c>
      <c r="J21" s="31" t="e">
        <f>SUM(H21:I21)</f>
        <v>#NAME?</v>
      </c>
      <c r="K21" s="27" t="s">
        <v>71</v>
      </c>
      <c r="L21" s="28" t="e">
        <f>Q20</f>
        <v>#NAME?</v>
      </c>
      <c r="M21" s="29">
        <f>(SUMIF('Confirmed Trades'!$B:$B,'VM'!$K$1,'Confirmed Trades'!$P:$P))+SUMIF('Confirmed Trades'!$B:$B,'VM'!$K$1,'Confirmed Trades'!$Q:$Q)</f>
        <v>0</v>
      </c>
      <c r="N21" s="29">
        <f>SUMIF('Purchase&amp;Sales'!$C:$C,'VM'!$K$1,'Purchase&amp;Sales'!$Q:$Q)</f>
        <v>0</v>
      </c>
      <c r="O21" s="28">
        <f>SUM(M21:N21)</f>
        <v>0</v>
      </c>
      <c r="P21" s="28" t="e">
        <f>-S20</f>
        <v>#NAME?</v>
      </c>
      <c r="Q21" s="29" t="e">
        <f>SUM(L21+O21+P21)</f>
        <v>#NAME?</v>
      </c>
      <c r="R21" s="28" t="e">
        <f>'CALC'!$R$5</f>
        <v>#NAME?</v>
      </c>
      <c r="S21" s="31" t="e">
        <f>SUM(Q21:R21)</f>
        <v>#NAME?</v>
      </c>
    </row>
    <row r="22" ht="15" customHeight="1" s="4" customFormat="1">
      <c r="B22" s="27" t="s">
        <v>70</v>
      </c>
      <c r="C22" s="28" t="e">
        <f>H21</f>
        <v>#NAME?</v>
      </c>
      <c r="D22" s="29">
        <f>(SUMIF('Confirmed Trades'!$B:$B,'VM'!$A$1,'Confirmed Trades'!$P:$P))+SUMIF('Confirmed Trades'!$B:$B,'VM'!$A$1,'Confirmed Trades'!$Q:$Q)</f>
        <v>0</v>
      </c>
      <c r="E22" s="29">
        <f>SUMIF('Purchase&amp;Sales'!$C:$C,'VM'!$A$1,'Purchase&amp;Sales'!$P:$P)</f>
        <v>0</v>
      </c>
      <c r="F22" s="30">
        <f>SUM(D22:E22)</f>
        <v>0</v>
      </c>
      <c r="G22" s="28" t="e">
        <f>-J21</f>
        <v>#NAME?</v>
      </c>
      <c r="H22" s="29" t="e">
        <f>SUM(C22+F22+G22)</f>
        <v>#NAME?</v>
      </c>
      <c r="I22" s="28" t="e">
        <f>'CALC'!$N$5</f>
        <v>#NAME?</v>
      </c>
      <c r="J22" s="31" t="e">
        <f>SUM(H22:I22)</f>
        <v>#NAME?</v>
      </c>
      <c r="K22" s="27" t="s">
        <v>71</v>
      </c>
      <c r="L22" s="28" t="e">
        <f>Q21</f>
        <v>#NAME?</v>
      </c>
      <c r="M22" s="29">
        <f>(SUMIF('Confirmed Trades'!$B:$B,'VM'!$K$1,'Confirmed Trades'!$P:$P))+SUMIF('Confirmed Trades'!$B:$B,'VM'!$K$1,'Confirmed Trades'!$Q:$Q)</f>
        <v>0</v>
      </c>
      <c r="N22" s="29">
        <f>SUMIF('Purchase&amp;Sales'!$C:$C,'VM'!$K$1,'Purchase&amp;Sales'!$Q:$Q)</f>
        <v>0</v>
      </c>
      <c r="O22" s="28">
        <f>SUM(M22:N22)</f>
        <v>0</v>
      </c>
      <c r="P22" s="28" t="e">
        <f>-S21</f>
        <v>#NAME?</v>
      </c>
      <c r="Q22" s="29" t="e">
        <f>SUM(L22+O22+P22)</f>
        <v>#NAME?</v>
      </c>
      <c r="R22" s="28" t="e">
        <f>'CALC'!$R$5</f>
        <v>#NAME?</v>
      </c>
      <c r="S22" s="31" t="e">
        <f>SUM(Q22:R22)</f>
        <v>#NAME?</v>
      </c>
    </row>
    <row r="23" ht="15" customHeight="1" s="4" customFormat="1">
      <c r="B23" s="27" t="s">
        <v>70</v>
      </c>
      <c r="C23" s="28" t="e">
        <f>H22</f>
        <v>#NAME?</v>
      </c>
      <c r="D23" s="29">
        <f>(SUMIF('Confirmed Trades'!$B:$B,'VM'!$A$1,'Confirmed Trades'!$P:$P))+SUMIF('Confirmed Trades'!$B:$B,'VM'!$A$1,'Confirmed Trades'!$Q:$Q)</f>
        <v>0</v>
      </c>
      <c r="E23" s="29">
        <f>SUMIF('Purchase&amp;Sales'!$C:$C,'VM'!$A$1,'Purchase&amp;Sales'!$P:$P)</f>
        <v>0</v>
      </c>
      <c r="F23" s="30">
        <f>SUM(D23:E23)</f>
        <v>0</v>
      </c>
      <c r="G23" s="28" t="e">
        <f>-J22</f>
        <v>#NAME?</v>
      </c>
      <c r="H23" s="29" t="e">
        <f>SUM(C23+F23+G23)</f>
        <v>#NAME?</v>
      </c>
      <c r="I23" s="28" t="e">
        <f>'CALC'!$N$5</f>
        <v>#NAME?</v>
      </c>
      <c r="J23" s="31" t="e">
        <f>SUM(H23:I23)</f>
        <v>#NAME?</v>
      </c>
      <c r="K23" s="27" t="s">
        <v>71</v>
      </c>
      <c r="L23" s="28" t="e">
        <f>Q22</f>
        <v>#NAME?</v>
      </c>
      <c r="M23" s="29">
        <f>(SUMIF('Confirmed Trades'!$B:$B,'VM'!$K$1,'Confirmed Trades'!$P:$P))+SUMIF('Confirmed Trades'!$B:$B,'VM'!$K$1,'Confirmed Trades'!$Q:$Q)</f>
        <v>0</v>
      </c>
      <c r="N23" s="29">
        <f>SUMIF('Purchase&amp;Sales'!$C:$C,'VM'!$K$1,'Purchase&amp;Sales'!$Q:$Q)</f>
        <v>0</v>
      </c>
      <c r="O23" s="28">
        <f>SUM(M23:N23)</f>
        <v>0</v>
      </c>
      <c r="P23" s="28" t="e">
        <f>-S22</f>
        <v>#NAME?</v>
      </c>
      <c r="Q23" s="29" t="e">
        <f>SUM(L23+O23+P23)</f>
        <v>#NAME?</v>
      </c>
      <c r="R23" s="28" t="e">
        <f>'CALC'!$R$5</f>
        <v>#NAME?</v>
      </c>
      <c r="S23" s="31" t="e">
        <f>SUM(Q23:R23)</f>
        <v>#NAME?</v>
      </c>
    </row>
    <row r="24" ht="15" customHeight="1" s="4" customFormat="1">
      <c r="B24" s="27" t="s">
        <v>70</v>
      </c>
      <c r="C24" s="28" t="e">
        <f>H23</f>
        <v>#NAME?</v>
      </c>
      <c r="D24" s="29">
        <f>(SUMIF('Confirmed Trades'!$B:$B,'VM'!$A$1,'Confirmed Trades'!$P:$P))+SUMIF('Confirmed Trades'!$B:$B,'VM'!$A$1,'Confirmed Trades'!$Q:$Q)</f>
        <v>0</v>
      </c>
      <c r="E24" s="29">
        <f>SUMIF('Purchase&amp;Sales'!$C:$C,'VM'!$A$1,'Purchase&amp;Sales'!$P:$P)</f>
        <v>0</v>
      </c>
      <c r="F24" s="30">
        <f>SUM(D24:E24)</f>
        <v>0</v>
      </c>
      <c r="G24" s="28" t="e">
        <f>-J23</f>
        <v>#NAME?</v>
      </c>
      <c r="H24" s="29" t="e">
        <f>SUM(C24+F24+G24)</f>
        <v>#NAME?</v>
      </c>
      <c r="I24" s="28" t="e">
        <f>'CALC'!$N$5</f>
        <v>#NAME?</v>
      </c>
      <c r="J24" s="31" t="e">
        <f>SUM(H24:I24)</f>
        <v>#NAME?</v>
      </c>
      <c r="K24" s="27" t="s">
        <v>71</v>
      </c>
      <c r="L24" s="28" t="e">
        <f>Q23</f>
        <v>#NAME?</v>
      </c>
      <c r="M24" s="29">
        <f>(SUMIF('Confirmed Trades'!$B:$B,'VM'!$K$1,'Confirmed Trades'!$P:$P))+SUMIF('Confirmed Trades'!$B:$B,'VM'!$K$1,'Confirmed Trades'!$Q:$Q)</f>
        <v>0</v>
      </c>
      <c r="N24" s="29">
        <f>SUMIF('Purchase&amp;Sales'!$C:$C,'VM'!$K$1,'Purchase&amp;Sales'!$Q:$Q)</f>
        <v>0</v>
      </c>
      <c r="O24" s="28">
        <f>SUM(M24:N24)</f>
        <v>0</v>
      </c>
      <c r="P24" s="28" t="e">
        <f>-S23</f>
        <v>#NAME?</v>
      </c>
      <c r="Q24" s="29" t="e">
        <f>SUM(L24+O24+P24)</f>
        <v>#NAME?</v>
      </c>
      <c r="R24" s="28" t="e">
        <f>'CALC'!$R$5</f>
        <v>#NAME?</v>
      </c>
      <c r="S24" s="31" t="e">
        <f>SUM(Q24:R24)</f>
        <v>#NAME?</v>
      </c>
    </row>
    <row r="25" ht="15" customHeight="1" s="4" customFormat="1">
      <c r="B25" s="27" t="s">
        <v>70</v>
      </c>
      <c r="C25" s="28" t="e">
        <f>H24</f>
        <v>#NAME?</v>
      </c>
      <c r="D25" s="29">
        <f>(SUMIF('Confirmed Trades'!$B:$B,'VM'!$A$1,'Confirmed Trades'!$P:$P))+SUMIF('Confirmed Trades'!$B:$B,'VM'!$A$1,'Confirmed Trades'!$Q:$Q)</f>
        <v>0</v>
      </c>
      <c r="E25" s="29">
        <f>SUMIF('Purchase&amp;Sales'!$C:$C,'VM'!$A$1,'Purchase&amp;Sales'!$P:$P)</f>
        <v>0</v>
      </c>
      <c r="F25" s="30">
        <f>SUM(D25:E25)</f>
        <v>0</v>
      </c>
      <c r="G25" s="28" t="e">
        <f>-J24</f>
        <v>#NAME?</v>
      </c>
      <c r="H25" s="29" t="e">
        <f>SUM(C25+F25+G25)</f>
        <v>#NAME?</v>
      </c>
      <c r="I25" s="28" t="e">
        <f>'CALC'!$N$5</f>
        <v>#NAME?</v>
      </c>
      <c r="J25" s="31" t="e">
        <f>SUM(H25:I25)</f>
        <v>#NAME?</v>
      </c>
      <c r="K25" s="27" t="s">
        <v>71</v>
      </c>
      <c r="L25" s="28" t="e">
        <f>Q24</f>
        <v>#NAME?</v>
      </c>
      <c r="M25" s="29">
        <f>(SUMIF('Confirmed Trades'!$B:$B,'VM'!$K$1,'Confirmed Trades'!$P:$P))+SUMIF('Confirmed Trades'!$B:$B,'VM'!$K$1,'Confirmed Trades'!$Q:$Q)</f>
        <v>0</v>
      </c>
      <c r="N25" s="29">
        <f>SUMIF('Purchase&amp;Sales'!$C:$C,'VM'!$K$1,'Purchase&amp;Sales'!$Q:$Q)</f>
        <v>0</v>
      </c>
      <c r="O25" s="28">
        <f>SUM(M25:N25)</f>
        <v>0</v>
      </c>
      <c r="P25" s="28" t="e">
        <f>-S24</f>
        <v>#NAME?</v>
      </c>
      <c r="Q25" s="29" t="e">
        <f>SUM(L25+O25+P25)</f>
        <v>#NAME?</v>
      </c>
      <c r="R25" s="28" t="e">
        <f>'CALC'!$R$5</f>
        <v>#NAME?</v>
      </c>
      <c r="S25" s="31" t="e">
        <f>SUM(Q25:R25)</f>
        <v>#NAME?</v>
      </c>
    </row>
    <row r="26" ht="15" customHeight="1" s="4" customFormat="1">
      <c r="B26" s="27" t="s">
        <v>70</v>
      </c>
      <c r="C26" s="28" t="e">
        <f>H25</f>
        <v>#NAME?</v>
      </c>
      <c r="D26" s="29">
        <f>(SUMIF('Confirmed Trades'!$B:$B,'VM'!$A$1,'Confirmed Trades'!$P:$P))+SUMIF('Confirmed Trades'!$B:$B,'VM'!$A$1,'Confirmed Trades'!$Q:$Q)</f>
        <v>0</v>
      </c>
      <c r="E26" s="29">
        <f>SUMIF('Purchase&amp;Sales'!$C:$C,'VM'!$A$1,'Purchase&amp;Sales'!$P:$P)</f>
        <v>0</v>
      </c>
      <c r="F26" s="30">
        <f>SUM(D26:E26)</f>
        <v>0</v>
      </c>
      <c r="G26" s="28" t="e">
        <f>-J25</f>
        <v>#NAME?</v>
      </c>
      <c r="H26" s="29" t="e">
        <f>SUM(C26+F26+G26)</f>
        <v>#NAME?</v>
      </c>
      <c r="I26" s="28" t="e">
        <f>'CALC'!$N$5</f>
        <v>#NAME?</v>
      </c>
      <c r="J26" s="31" t="e">
        <f>SUM(H26:I26)</f>
        <v>#NAME?</v>
      </c>
      <c r="K26" s="27" t="s">
        <v>71</v>
      </c>
      <c r="L26" s="28" t="e">
        <f>Q25</f>
        <v>#NAME?</v>
      </c>
      <c r="M26" s="29">
        <f>(SUMIF('Confirmed Trades'!$B:$B,'VM'!$K$1,'Confirmed Trades'!$P:$P))+SUMIF('Confirmed Trades'!$B:$B,'VM'!$K$1,'Confirmed Trades'!$Q:$Q)</f>
        <v>0</v>
      </c>
      <c r="N26" s="29">
        <f>SUMIF('Purchase&amp;Sales'!$C:$C,'VM'!$K$1,'Purchase&amp;Sales'!$Q:$Q)</f>
        <v>0</v>
      </c>
      <c r="O26" s="28">
        <f>SUM(M26:N26)</f>
        <v>0</v>
      </c>
      <c r="P26" s="28" t="e">
        <f>-S25</f>
        <v>#NAME?</v>
      </c>
      <c r="Q26" s="29" t="e">
        <f>SUM(L26+O26+P26)</f>
        <v>#NAME?</v>
      </c>
      <c r="R26" s="28" t="e">
        <f>'CALC'!$R$5</f>
        <v>#NAME?</v>
      </c>
      <c r="S26" s="31" t="e">
        <f>SUM(Q26:R26)</f>
        <v>#NAME?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21245F-74B1-44C5-8B79-2F0E965CB230}">
  <sheetPr codeName="Sheet4"/>
  <dimension ref="A1:X858"/>
  <sheetViews>
    <sheetView tabSelected="1" topLeftCell="F1" workbookViewId="0">
      <selection activeCell="S12" sqref="S12"/>
    </sheetView>
  </sheetViews>
  <sheetFormatPr defaultRowHeight="14.4" x14ac:dyDescent="0.3"/>
  <cols>
    <col min="1" max="1" width="9.140625" customWidth="1"/>
    <col min="2" max="2" bestFit="1" width="18.44140625" customWidth="1" style="4"/>
    <col min="3" max="3" bestFit="1" width="14.6640625" customWidth="1" style="4"/>
    <col min="4" max="4" bestFit="1" width="14.33203125" customWidth="1" style="4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9.140625" customWidth="1"/>
    <col min="11" max="11" width="9.140625" customWidth="1"/>
    <col min="12" max="12" width="9.140625" customWidth="1"/>
    <col min="13" max="13" bestFit="1" width="18.44140625" customWidth="1" style="4"/>
    <col min="14" max="14" bestFit="1" width="15" customWidth="1" style="4"/>
    <col min="15" max="15" width="9.140625" customWidth="1"/>
    <col min="16" max="16" width="9.140625" customWidth="1"/>
    <col min="17" max="17" bestFit="1" width="18.44140625" customWidth="1" style="4"/>
    <col min="18" max="18" bestFit="1" width="14.33203125" customWidth="1" style="4"/>
    <col min="19" max="19" width="9.140625" customWidth="1"/>
    <col min="20" max="20" width="9.140625" customWidth="1"/>
    <col min="21" max="21" width="9.140625" customWidth="1"/>
    <col min="22" max="22" bestFit="1" width="5" customWidth="1" style="4"/>
    <col min="23" max="23" bestFit="1" width="17.88671875" customWidth="1" style="4"/>
    <col min="24" max="24" bestFit="1" width="10.5546875" customWidth="1" style="4"/>
  </cols>
  <sheetData>
    <row r="1" ht="15" customHeight="1" s="4" customFormat="1">
      <c r="M1" s="4" t="s">
        <v>60</v>
      </c>
      <c r="Q1" s="33" t="s">
        <v>69</v>
      </c>
      <c r="V1" s="34" t="s">
        <v>73</v>
      </c>
      <c r="W1" s="35" t="s">
        <v>74</v>
      </c>
      <c r="X1" s="36" t="e">
        <f>_xll.BDP(V1&amp;" EQUITY","px_yest_close")</f>
        <v>#NAME?</v>
      </c>
    </row>
    <row r="2" ht="15" customHeight="1" s="4" customFormat="1">
      <c r="M2" s="4" t="s">
        <v>75</v>
      </c>
      <c r="N2" s="4">
        <f>SUMIF($A:$A,M1,$B:$B)</f>
        <v>0</v>
      </c>
      <c r="Q2" s="4" t="s">
        <v>75</v>
      </c>
      <c r="R2" s="4">
        <f>SUMIF($A:$A,Q1,$B:$B)</f>
        <v>0</v>
      </c>
    </row>
    <row r="3" ht="15" customHeight="1" s="4" customFormat="1">
      <c r="M3" s="4" t="s">
        <v>76</v>
      </c>
      <c r="N3" s="29">
        <f>SUMIF($A:$A,M1,$D:$D)</f>
        <v>0</v>
      </c>
      <c r="Q3" s="4" t="s">
        <v>76</v>
      </c>
      <c r="R3" s="29">
        <f>SUMIF($A:$A,Q1,$D:$D)</f>
        <v>0</v>
      </c>
    </row>
    <row r="4" ht="15" customHeight="1" s="4" customFormat="1">
      <c r="M4" s="4" t="s">
        <v>77</v>
      </c>
      <c r="N4" s="37" t="e">
        <f>N3/N2</f>
        <v>#DIV/0!</v>
      </c>
      <c r="Q4" s="4" t="s">
        <v>77</v>
      </c>
      <c r="R4" s="38" t="e">
        <f>R3/R2</f>
        <v>#DIV/0!</v>
      </c>
    </row>
    <row r="5" ht="15" customHeight="1" s="4" customFormat="1">
      <c r="A5" s="16" t="s">
        <v>3</v>
      </c>
      <c r="B5" s="8" t="s">
        <v>7</v>
      </c>
      <c r="C5" s="8" t="s">
        <v>18</v>
      </c>
      <c r="D5" s="8" t="s">
        <v>78</v>
      </c>
      <c r="M5" s="4" t="s">
        <v>79</v>
      </c>
      <c r="N5" s="28" t="e">
        <f>($X$1-N4)*50*N2</f>
        <v>#NAME?</v>
      </c>
      <c r="Q5" s="4" t="s">
        <v>79</v>
      </c>
      <c r="R5" s="28" t="e">
        <f>($X$1-R4)*50*R2</f>
        <v>#NAME?</v>
      </c>
      <c r="U5" s="16" t="s">
        <v>80</v>
      </c>
    </row>
    <row r="6" ht="15" customHeight="1" s="4" customFormat="1">
      <c r="A6" s="4" t="str">
        <f>IF(LEN('Open Positions'!B4)&gt;0,'Open Positions'!B4,"")</f>
      </c>
      <c r="B6" s="4" t="str">
        <f>IF(LEN('CALC'!A6)&gt;0,'Open Positions'!F4,"")</f>
      </c>
      <c r="C6" s="39" t="str">
        <f>IF(LEN(A6)&gt;0,'Open Positions'!Q4,"")</f>
      </c>
      <c r="D6" s="29" t="str">
        <f>IF(LEN(A6)&gt;0,(B6*C6),"")</f>
      </c>
    </row>
    <row r="7" ht="15" customHeight="1" s="4" customFormat="1">
      <c r="A7" s="4" t="str">
        <f>IF(LEN('Open Positions'!B5)&gt;0,'Open Positions'!B5,"")</f>
      </c>
      <c r="B7" s="4" t="str">
        <f>IF(LEN('CALC'!A7)&gt;0,'Open Positions'!F5,"")</f>
      </c>
      <c r="C7" s="39" t="str">
        <f>IF(LEN(A7)&gt;0,'Open Positions'!Q5,"")</f>
      </c>
      <c r="D7" s="29" t="str">
        <f>IF(LEN(A7)&gt;0,(B7*C7),"")</f>
      </c>
    </row>
    <row r="8" ht="15" customHeight="1" s="4" customFormat="1">
      <c r="A8" s="4" t="str">
        <f>IF(LEN('Open Positions'!B6)&gt;0,'Open Positions'!B6,"")</f>
      </c>
      <c r="B8" s="4" t="str">
        <f>IF(LEN('CALC'!A8)&gt;0,'Open Positions'!F6,"")</f>
      </c>
      <c r="C8" s="39" t="str">
        <f>IF(LEN(A8)&gt;0,'Open Positions'!Q6,"")</f>
      </c>
      <c r="D8" s="29" t="str">
        <f>IF(LEN(A8)&gt;0,(B8*C8),"")</f>
      </c>
    </row>
    <row r="9" ht="15" customHeight="1" s="4" customFormat="1">
      <c r="A9" s="4" t="str">
        <f>IF(LEN('Open Positions'!B7)&gt;0,'Open Positions'!B7,"")</f>
      </c>
      <c r="B9" s="4" t="str">
        <f>IF(LEN('CALC'!A9)&gt;0,'Open Positions'!F7,"")</f>
      </c>
      <c r="C9" s="39" t="str">
        <f>IF(LEN(A9)&gt;0,'Open Positions'!Q7,"")</f>
      </c>
      <c r="D9" s="29" t="str">
        <f>IF(LEN(A9)&gt;0,(B9*C9),"")</f>
      </c>
    </row>
    <row r="10" ht="15" customHeight="1" s="4" customFormat="1">
      <c r="A10" s="4" t="str">
        <f>IF(LEN('Open Positions'!B8)&gt;0,'Open Positions'!B8,"")</f>
      </c>
      <c r="B10" s="4" t="str">
        <f>IF(LEN('CALC'!A10)&gt;0,'Open Positions'!F8,"")</f>
      </c>
      <c r="C10" s="39" t="str">
        <f>IF(LEN(A10)&gt;0,'Open Positions'!Q8,"")</f>
      </c>
      <c r="D10" s="29" t="str">
        <f>IF(LEN(A10)&gt;0,B10*C10,"")</f>
      </c>
    </row>
    <row r="11" ht="15" customHeight="1" s="4" customFormat="1">
      <c r="A11" s="4" t="str">
        <f>IF(LEN('Open Positions'!B9)&gt;0,'Open Positions'!B9,"")</f>
      </c>
      <c r="B11" s="4" t="str">
        <f>IF(LEN('CALC'!A11)&gt;0,'Open Positions'!F9,"")</f>
      </c>
      <c r="C11" s="39" t="str">
        <f>IF(LEN(A11)&gt;0,'Open Positions'!Q9,"")</f>
      </c>
      <c r="D11" s="29" t="str">
        <f>IF(LEN(A11)&gt;0,B11*C11,"")</f>
      </c>
    </row>
    <row r="12" ht="15" customHeight="1" s="4" customFormat="1">
      <c r="A12" s="4" t="str">
        <f>IF(LEN('Open Positions'!B10)&gt;0,'Open Positions'!B10,"")</f>
      </c>
      <c r="B12" s="4" t="str">
        <f>IF(LEN('CALC'!A12)&gt;0,'Open Positions'!F10,"")</f>
      </c>
      <c r="C12" s="39" t="str">
        <f>IF(LEN(A12)&gt;0,'Open Positions'!Q10,"")</f>
      </c>
      <c r="D12" s="29" t="str">
        <f>IF(LEN(A12)&gt;0,B12*C12,"")</f>
      </c>
    </row>
    <row r="13" ht="15" customHeight="1" s="4" customFormat="1">
      <c r="A13" s="4" t="str">
        <f>IF(LEN('Open Positions'!B11)&gt;0,'Open Positions'!B11,"")</f>
      </c>
      <c r="B13" s="4" t="str">
        <f>IF(LEN('CALC'!A13)&gt;0,'Open Positions'!F11,"")</f>
      </c>
      <c r="C13" s="39" t="str">
        <f>IF(LEN(A13)&gt;0,'Open Positions'!Q11,"")</f>
      </c>
      <c r="D13" s="29" t="str">
        <f>IF(LEN(A13)&gt;0,B13*C13,"")</f>
      </c>
    </row>
    <row r="14" ht="15" customHeight="1" s="4" customFormat="1">
      <c r="A14" s="4" t="str">
        <f>IF(LEN('Open Positions'!B12)&gt;0,'Open Positions'!B12,"")</f>
      </c>
      <c r="B14" s="4" t="str">
        <f>IF(LEN('CALC'!A14)&gt;0,'Open Positions'!F12,"")</f>
      </c>
      <c r="C14" s="39" t="str">
        <f>IF(LEN(A14)&gt;0,'Open Positions'!Q12,"")</f>
      </c>
      <c r="D14" s="29" t="str">
        <f>IF(LEN(A14)&gt;0,B14*C14,"")</f>
      </c>
    </row>
    <row r="15" ht="15" customHeight="1" s="4" customFormat="1">
      <c r="A15" s="4" t="str">
        <f>IF(LEN('Open Positions'!B13)&gt;0,'Open Positions'!B13,"")</f>
      </c>
      <c r="B15" s="4" t="str">
        <f>IF(LEN('CALC'!A15)&gt;0,'Open Positions'!F13,"")</f>
      </c>
      <c r="C15" s="39" t="str">
        <f>IF(LEN(A15)&gt;0,'Open Positions'!Q13,"")</f>
      </c>
      <c r="D15" s="29" t="str">
        <f>IF(LEN(A15)&gt;0,B15*C15,"")</f>
      </c>
    </row>
    <row r="16" ht="15" customHeight="1" s="4" customFormat="1">
      <c r="A16" s="4" t="str">
        <f>IF(LEN('Open Positions'!B14)&gt;0,'Open Positions'!B14,"")</f>
      </c>
      <c r="B16" s="4" t="str">
        <f>IF(LEN('CALC'!A16)&gt;0,'Open Positions'!F14,"")</f>
      </c>
      <c r="C16" s="39" t="str">
        <f>IF(LEN(A16)&gt;0,'Open Positions'!Q14,"")</f>
      </c>
      <c r="D16" s="29" t="str">
        <f>IF(LEN(A16)&gt;0,B16*C16,"")</f>
      </c>
    </row>
    <row r="17" ht="15" customHeight="1" s="4" customFormat="1">
      <c r="A17" s="4" t="str">
        <f>IF(LEN('Open Positions'!B15)&gt;0,'Open Positions'!B15,"")</f>
      </c>
      <c r="B17" s="4" t="str">
        <f>IF(LEN('CALC'!A17)&gt;0,'Open Positions'!F15,"")</f>
      </c>
      <c r="C17" s="39" t="str">
        <f>IF(LEN(A17)&gt;0,'Open Positions'!Q15,"")</f>
      </c>
      <c r="D17" s="29" t="str">
        <f>IF(LEN(A17)&gt;0,B17*C17,"")</f>
      </c>
    </row>
    <row r="18" ht="15" customHeight="1" s="4" customFormat="1">
      <c r="A18" s="4" t="str">
        <f>IF(LEN('Open Positions'!B16)&gt;0,'Open Positions'!B16,"")</f>
      </c>
      <c r="B18" s="4" t="str">
        <f>IF(LEN('CALC'!A18)&gt;0,'Open Positions'!F16,"")</f>
      </c>
      <c r="C18" s="39" t="str">
        <f>IF(LEN(A18)&gt;0,'Open Positions'!Q16,"")</f>
      </c>
      <c r="D18" s="29" t="str">
        <f>IF(LEN(A18)&gt;0,B18*C18,"")</f>
      </c>
    </row>
    <row r="19" ht="15" customHeight="1" s="4" customFormat="1">
      <c r="A19" s="4" t="str">
        <f>IF(LEN('Open Positions'!B17)&gt;0,'Open Positions'!B17,"")</f>
      </c>
      <c r="B19" s="4" t="str">
        <f>IF(LEN('CALC'!A19)&gt;0,'Open Positions'!F17,"")</f>
      </c>
      <c r="C19" s="39" t="str">
        <f>IF(LEN(A19)&gt;0,'Open Positions'!Q17,"")</f>
      </c>
      <c r="D19" s="29" t="str">
        <f>IF(LEN(A19)&gt;0,B19*C19,"")</f>
      </c>
    </row>
    <row r="20" ht="15" customHeight="1" s="4" customFormat="1">
      <c r="A20" s="4" t="str">
        <f>IF(LEN('Open Positions'!B18)&gt;0,'Open Positions'!B18,"")</f>
      </c>
      <c r="B20" s="4" t="str">
        <f>IF(LEN('CALC'!A20)&gt;0,'Open Positions'!F18,"")</f>
      </c>
      <c r="C20" s="39" t="str">
        <f>IF(LEN(A20)&gt;0,'Open Positions'!Q18,"")</f>
      </c>
      <c r="D20" s="29" t="str">
        <f>IF(LEN(A20)&gt;0,B20*C20,"")</f>
      </c>
    </row>
    <row r="21" ht="15" customHeight="1" s="4" customFormat="1">
      <c r="A21" s="4" t="str">
        <f>IF(LEN('Open Positions'!B19)&gt;0,'Open Positions'!B19,"")</f>
      </c>
      <c r="B21" s="4" t="str">
        <f>IF(LEN('CALC'!A21)&gt;0,'Open Positions'!F19,"")</f>
      </c>
      <c r="C21" s="39" t="str">
        <f>IF(LEN(A21)&gt;0,'Open Positions'!Q19,"")</f>
      </c>
      <c r="D21" s="29" t="str">
        <f>IF(LEN(A21)&gt;0,B21*C21,"")</f>
      </c>
    </row>
    <row r="22" ht="15" customHeight="1" s="4" customFormat="1">
      <c r="A22" s="4" t="str">
        <f>IF(LEN('Open Positions'!B20)&gt;0,'Open Positions'!B20,"")</f>
      </c>
      <c r="B22" s="4" t="str">
        <f>IF(LEN('CALC'!A22)&gt;0,'Open Positions'!F20,"")</f>
      </c>
      <c r="C22" s="39" t="str">
        <f>IF(LEN(A22)&gt;0,'Open Positions'!Q20,"")</f>
      </c>
      <c r="D22" s="29" t="str">
        <f>IF(LEN(A22)&gt;0,B22*C22,"")</f>
      </c>
    </row>
    <row r="23" ht="15" customHeight="1" s="4" customFormat="1">
      <c r="A23" s="4" t="str">
        <f>IF(LEN('Open Positions'!B21)&gt;0,'Open Positions'!B21,"")</f>
      </c>
      <c r="B23" s="4" t="str">
        <f>IF(LEN('CALC'!A23)&gt;0,'Open Positions'!F21,"")</f>
      </c>
      <c r="C23" s="39" t="str">
        <f>IF(LEN(A23)&gt;0,'Open Positions'!Q21,"")</f>
      </c>
      <c r="D23" s="29" t="str">
        <f>IF(LEN(A23)&gt;0,B23*C23,"")</f>
      </c>
    </row>
    <row r="24" ht="15" customHeight="1" s="4" customFormat="1">
      <c r="A24" s="4" t="str">
        <f>IF(LEN('Open Positions'!B22)&gt;0,'Open Positions'!B22,"")</f>
      </c>
      <c r="B24" s="4" t="str">
        <f>IF(LEN('CALC'!A24)&gt;0,'Open Positions'!F22,"")</f>
      </c>
      <c r="C24" s="39" t="str">
        <f>IF(LEN(A24)&gt;0,'Open Positions'!Q22,"")</f>
      </c>
      <c r="D24" s="29" t="str">
        <f>IF(LEN(A24)&gt;0,B24*C24,"")</f>
      </c>
    </row>
    <row r="25" ht="15" customHeight="1" s="4" customFormat="1">
      <c r="A25" s="4" t="str">
        <f>IF(LEN('Open Positions'!B23)&gt;0,'Open Positions'!B23,"")</f>
      </c>
      <c r="B25" s="4" t="str">
        <f>IF(LEN('CALC'!A25)&gt;0,'Open Positions'!F23,"")</f>
      </c>
      <c r="C25" s="39" t="str">
        <f>IF(LEN(A25)&gt;0,'Open Positions'!Q23,"")</f>
      </c>
      <c r="D25" s="29" t="str">
        <f>IF(LEN(A25)&gt;0,B25*C25,"")</f>
      </c>
    </row>
    <row r="26" ht="15" customHeight="1" s="4" customFormat="1">
      <c r="A26" s="4" t="str">
        <f>IF(LEN('Open Positions'!B24)&gt;0,'Open Positions'!B24,"")</f>
      </c>
      <c r="B26" s="4" t="str">
        <f>IF(LEN('CALC'!A26)&gt;0,'Open Positions'!F24,"")</f>
      </c>
      <c r="C26" s="39" t="str">
        <f>IF(LEN(A26)&gt;0,'Open Positions'!Q24,"")</f>
      </c>
      <c r="D26" s="29" t="str">
        <f>IF(LEN(A26)&gt;0,B26*C26,"")</f>
      </c>
    </row>
    <row r="27" ht="15" customHeight="1" s="4" customFormat="1">
      <c r="A27" s="4" t="str">
        <f>IF(LEN('Open Positions'!B25)&gt;0,'Open Positions'!B25,"")</f>
      </c>
      <c r="B27" s="4" t="str">
        <f>IF(LEN('CALC'!A27)&gt;0,'Open Positions'!F25,"")</f>
      </c>
      <c r="C27" s="39" t="str">
        <f>IF(LEN(A27)&gt;0,'Open Positions'!Q25,"")</f>
      </c>
      <c r="D27" s="29" t="str">
        <f>IF(LEN(A27)&gt;0,B27*C27,"")</f>
      </c>
    </row>
    <row r="28" ht="15" customHeight="1" s="4" customFormat="1">
      <c r="A28" s="4" t="str">
        <f>IF(LEN('Open Positions'!B26)&gt;0,'Open Positions'!B26,"")</f>
      </c>
      <c r="B28" s="4" t="str">
        <f>IF(LEN('CALC'!A28)&gt;0,'Open Positions'!F26,"")</f>
      </c>
      <c r="C28" s="39" t="str">
        <f>IF(LEN(A28)&gt;0,'Open Positions'!Q26,"")</f>
      </c>
      <c r="D28" s="29" t="str">
        <f>IF(LEN(A28)&gt;0,B28*C28,"")</f>
      </c>
    </row>
    <row r="29" ht="15" customHeight="1" s="4" customFormat="1">
      <c r="A29" s="4" t="str">
        <f>IF(LEN('Open Positions'!B27)&gt;0,'Open Positions'!B27,"")</f>
      </c>
      <c r="B29" s="4" t="str">
        <f>IF(LEN('CALC'!A29)&gt;0,'Open Positions'!F27,"")</f>
      </c>
      <c r="C29" s="39" t="str">
        <f>IF(LEN(A29)&gt;0,'Open Positions'!Q27,"")</f>
      </c>
      <c r="D29" s="29" t="str">
        <f>IF(LEN(A29)&gt;0,B29*C29,"")</f>
      </c>
    </row>
    <row r="30" ht="15" customHeight="1" s="4" customFormat="1">
      <c r="A30" s="4" t="str">
        <f>IF(LEN('Open Positions'!B28)&gt;0,'Open Positions'!B28,"")</f>
      </c>
      <c r="B30" s="4" t="str">
        <f>IF(LEN('CALC'!A30)&gt;0,'Open Positions'!F28,"")</f>
      </c>
      <c r="C30" s="39" t="str">
        <f>IF(LEN(A30)&gt;0,'Open Positions'!Q28,"")</f>
      </c>
      <c r="D30" s="29" t="str">
        <f>IF(LEN(A30)&gt;0,B30*C30,"")</f>
      </c>
    </row>
    <row r="31" ht="15" customHeight="1" s="4" customFormat="1">
      <c r="A31" s="4" t="str">
        <f>IF(LEN('Open Positions'!B29)&gt;0,'Open Positions'!B29,"")</f>
      </c>
      <c r="B31" s="4" t="str">
        <f>IF(LEN('CALC'!A31)&gt;0,'Open Positions'!F29,"")</f>
      </c>
      <c r="C31" s="39" t="str">
        <f>IF(LEN(A31)&gt;0,'Open Positions'!Q29,"")</f>
      </c>
      <c r="D31" s="29" t="str">
        <f>IF(LEN(A31)&gt;0,B31*C31,"")</f>
      </c>
    </row>
    <row r="32" ht="15" customHeight="1" s="4" customFormat="1">
      <c r="A32" s="4" t="str">
        <f>IF(LEN('Open Positions'!B30)&gt;0,'Open Positions'!B30,"")</f>
      </c>
      <c r="B32" s="4" t="str">
        <f>IF(LEN('CALC'!A32)&gt;0,'Open Positions'!F30,"")</f>
      </c>
      <c r="C32" s="39" t="str">
        <f>IF(LEN(A32)&gt;0,'Open Positions'!Q30,"")</f>
      </c>
      <c r="D32" s="29" t="str">
        <f>IF(LEN(A32)&gt;0,B32*C32,"")</f>
      </c>
    </row>
    <row r="33" ht="15" customHeight="1" s="4" customFormat="1">
      <c r="A33" s="4" t="str">
        <f>IF(LEN('Open Positions'!B31)&gt;0,'Open Positions'!B31,"")</f>
      </c>
      <c r="B33" s="4" t="str">
        <f>IF(LEN('CALC'!A33)&gt;0,'Open Positions'!F31,"")</f>
      </c>
      <c r="C33" s="39" t="str">
        <f>IF(LEN(A33)&gt;0,'Open Positions'!Q31,"")</f>
      </c>
      <c r="D33" s="29" t="str">
        <f>IF(LEN(A33)&gt;0,B33*C33,"")</f>
      </c>
    </row>
    <row r="34" ht="15" customHeight="1" s="4" customFormat="1">
      <c r="A34" s="4" t="str">
        <f>IF(LEN('Open Positions'!B32)&gt;0,'Open Positions'!B32,"")</f>
      </c>
      <c r="B34" s="4" t="str">
        <f>IF(LEN('CALC'!A34)&gt;0,'Open Positions'!F32,"")</f>
      </c>
      <c r="C34" s="39" t="str">
        <f>IF(LEN(A34)&gt;0,'Open Positions'!Q32,"")</f>
      </c>
      <c r="D34" s="29" t="str">
        <f>IF(LEN(A34)&gt;0,B34*C34,"")</f>
      </c>
    </row>
    <row r="35" ht="15" customHeight="1" s="4" customFormat="1">
      <c r="A35" s="4" t="str">
        <f>IF(LEN('Open Positions'!B33)&gt;0,'Open Positions'!B33,"")</f>
      </c>
      <c r="B35" s="4" t="str">
        <f>IF(LEN('CALC'!A35)&gt;0,'Open Positions'!F33,"")</f>
      </c>
      <c r="C35" s="39" t="str">
        <f>IF(LEN(A35)&gt;0,'Open Positions'!Q33,"")</f>
      </c>
      <c r="D35" s="29" t="str">
        <f>IF(LEN(A35)&gt;0,B35*C35,"")</f>
      </c>
    </row>
    <row r="36" ht="15" customHeight="1" s="4" customFormat="1">
      <c r="A36" s="4" t="str">
        <f>IF(LEN('Open Positions'!B34)&gt;0,'Open Positions'!B34,"")</f>
      </c>
      <c r="B36" s="4" t="str">
        <f>IF(LEN('CALC'!A36)&gt;0,'Open Positions'!F34,"")</f>
      </c>
      <c r="C36" s="39" t="str">
        <f>IF(LEN(A36)&gt;0,'Open Positions'!Q34,"")</f>
      </c>
      <c r="D36" s="29" t="str">
        <f>IF(LEN(A36)&gt;0,B36*C36,"")</f>
      </c>
    </row>
    <row r="37" ht="15" customHeight="1" s="4" customFormat="1">
      <c r="A37" s="4" t="str">
        <f>IF(LEN('Open Positions'!B35)&gt;0,'Open Positions'!B35,"")</f>
      </c>
      <c r="B37" s="4" t="str">
        <f>IF(LEN('CALC'!A37)&gt;0,'Open Positions'!F35,"")</f>
      </c>
      <c r="C37" s="39" t="str">
        <f>IF(LEN(A37)&gt;0,'Open Positions'!Q35,"")</f>
      </c>
      <c r="D37" s="29" t="str">
        <f>IF(LEN(A37)&gt;0,B37*C37,"")</f>
      </c>
    </row>
    <row r="38" ht="15" customHeight="1" s="4" customFormat="1">
      <c r="A38" s="4" t="str">
        <f>IF(LEN('Open Positions'!B36)&gt;0,'Open Positions'!B36,"")</f>
      </c>
      <c r="B38" s="4" t="str">
        <f>IF(LEN('CALC'!A38)&gt;0,'Open Positions'!F36,"")</f>
      </c>
      <c r="C38" s="39" t="str">
        <f>IF(LEN(A38)&gt;0,'Open Positions'!Q36,"")</f>
      </c>
      <c r="D38" s="29" t="str">
        <f>IF(LEN(A38)&gt;0,B38*C38,"")</f>
      </c>
    </row>
    <row r="39" ht="15" customHeight="1" s="4" customFormat="1">
      <c r="A39" s="4" t="str">
        <f>IF(LEN('Open Positions'!B37)&gt;0,'Open Positions'!B37,"")</f>
      </c>
      <c r="B39" s="4" t="str">
        <f>IF(LEN('CALC'!A39)&gt;0,'Open Positions'!F37,"")</f>
      </c>
      <c r="C39" s="39" t="str">
        <f>IF(LEN(A39)&gt;0,'Open Positions'!Q37,"")</f>
      </c>
      <c r="D39" s="29" t="str">
        <f>IF(LEN(A39)&gt;0,B39*C39,"")</f>
      </c>
    </row>
    <row r="40" ht="15" customHeight="1" s="4" customFormat="1">
      <c r="A40" s="4" t="str">
        <f>IF(LEN('Open Positions'!B38)&gt;0,'Open Positions'!B38,"")</f>
      </c>
      <c r="B40" s="4" t="str">
        <f>IF(LEN('CALC'!A40)&gt;0,'Open Positions'!F38,"")</f>
      </c>
      <c r="C40" s="39" t="str">
        <f>IF(LEN(A40)&gt;0,'Open Positions'!Q38,"")</f>
      </c>
      <c r="D40" s="29" t="str">
        <f>IF(LEN(A40)&gt;0,B40*C40,"")</f>
      </c>
    </row>
    <row r="41" ht="15" customHeight="1" s="4" customFormat="1">
      <c r="A41" s="4" t="str">
        <f>IF(LEN('Open Positions'!B39)&gt;0,'Open Positions'!B39,"")</f>
      </c>
      <c r="B41" s="4" t="str">
        <f>IF(LEN('CALC'!A41)&gt;0,'Open Positions'!F39,"")</f>
      </c>
      <c r="C41" s="39" t="str">
        <f>IF(LEN(A41)&gt;0,'Open Positions'!Q39,"")</f>
      </c>
      <c r="D41" s="29" t="str">
        <f>IF(LEN(A41)&gt;0,B41*C41,"")</f>
      </c>
    </row>
    <row r="42" ht="15" customHeight="1" s="4" customFormat="1">
      <c r="A42" s="4" t="str">
        <f>IF(LEN('Open Positions'!B40)&gt;0,'Open Positions'!B40,"")</f>
      </c>
      <c r="B42" s="4" t="str">
        <f>IF(LEN('CALC'!A42)&gt;0,'Open Positions'!F40,"")</f>
      </c>
      <c r="C42" s="39" t="str">
        <f>IF(LEN(A42)&gt;0,'Open Positions'!Q40,"")</f>
      </c>
      <c r="D42" s="29" t="str">
        <f>IF(LEN(A42)&gt;0,B42*C42,"")</f>
      </c>
    </row>
    <row r="43" ht="15" customHeight="1" s="4" customFormat="1">
      <c r="A43" s="4" t="str">
        <f>IF(LEN('Open Positions'!B41)&gt;0,'Open Positions'!B41,"")</f>
      </c>
      <c r="B43" s="4" t="str">
        <f>IF(LEN('CALC'!A43)&gt;0,'Open Positions'!F41,"")</f>
      </c>
      <c r="C43" s="39" t="str">
        <f>IF(LEN(A43)&gt;0,'Open Positions'!Q41,"")</f>
      </c>
      <c r="D43" s="29" t="str">
        <f>IF(LEN(A43)&gt;0,B43*C43,"")</f>
      </c>
    </row>
    <row r="44" ht="15" customHeight="1" s="4" customFormat="1">
      <c r="A44" s="4" t="str">
        <f>IF(LEN('Open Positions'!B42)&gt;0,'Open Positions'!B42,"")</f>
      </c>
      <c r="B44" s="4" t="str">
        <f>IF(LEN('CALC'!A44)&gt;0,'Open Positions'!F42,"")</f>
      </c>
      <c r="C44" s="39" t="str">
        <f>IF(LEN(A44)&gt;0,'Open Positions'!Q42,"")</f>
      </c>
      <c r="D44" s="29" t="str">
        <f>IF(LEN(A44)&gt;0,B44*C44,"")</f>
      </c>
    </row>
    <row r="45" ht="15" customHeight="1" s="4" customFormat="1">
      <c r="A45" s="4" t="str">
        <f>IF(LEN('Open Positions'!B43)&gt;0,'Open Positions'!B43,"")</f>
      </c>
      <c r="B45" s="4" t="str">
        <f>IF(LEN('CALC'!A45)&gt;0,'Open Positions'!F43,"")</f>
      </c>
      <c r="C45" s="39" t="str">
        <f>IF(LEN(A45)&gt;0,'Open Positions'!Q43,"")</f>
      </c>
      <c r="D45" s="29" t="str">
        <f>IF(LEN(A45)&gt;0,B45*C45,"")</f>
      </c>
    </row>
    <row r="46" ht="15" customHeight="1" s="4" customFormat="1">
      <c r="A46" s="4" t="str">
        <f>IF(LEN('Open Positions'!B44)&gt;0,'Open Positions'!B44,"")</f>
      </c>
      <c r="B46" s="4" t="str">
        <f>IF(LEN('CALC'!A46)&gt;0,'Open Positions'!F44,"")</f>
      </c>
      <c r="C46" s="39" t="str">
        <f>IF(LEN(A46)&gt;0,'Open Positions'!Q44,"")</f>
      </c>
      <c r="D46" s="29" t="str">
        <f>IF(LEN(A46)&gt;0,B46*C46,"")</f>
      </c>
    </row>
    <row r="47" ht="15" customHeight="1" s="4" customFormat="1">
      <c r="A47" s="4" t="str">
        <f>IF(LEN('Open Positions'!B45)&gt;0,'Open Positions'!B45,"")</f>
      </c>
      <c r="B47" s="4" t="str">
        <f>IF(LEN('CALC'!A47)&gt;0,'Open Positions'!F45,"")</f>
      </c>
      <c r="C47" s="39" t="str">
        <f>IF(LEN(A47)&gt;0,'Open Positions'!Q45,"")</f>
      </c>
      <c r="D47" s="29" t="str">
        <f>IF(LEN(A47)&gt;0,B47*C47,"")</f>
      </c>
    </row>
    <row r="48" ht="15" customHeight="1" s="4" customFormat="1">
      <c r="A48" s="4" t="str">
        <f>IF(LEN('Open Positions'!B46)&gt;0,'Open Positions'!B46,"")</f>
      </c>
      <c r="B48" s="4" t="str">
        <f>IF(LEN('CALC'!A48)&gt;0,'Open Positions'!F46,"")</f>
      </c>
      <c r="C48" s="39" t="str">
        <f>IF(LEN(A48)&gt;0,'Open Positions'!Q46,"")</f>
      </c>
      <c r="D48" s="29" t="str">
        <f>IF(LEN(A48)&gt;0,B48*C48,"")</f>
      </c>
    </row>
    <row r="49" ht="15" customHeight="1" s="4" customFormat="1">
      <c r="A49" s="4" t="str">
        <f>IF(LEN('Open Positions'!B47)&gt;0,'Open Positions'!B47,"")</f>
      </c>
      <c r="B49" s="4" t="str">
        <f>IF(LEN('CALC'!A49)&gt;0,'Open Positions'!F47,"")</f>
      </c>
      <c r="C49" s="39" t="str">
        <f>IF(LEN(A49)&gt;0,'Open Positions'!Q47,"")</f>
      </c>
      <c r="D49" s="29" t="str">
        <f>IF(LEN(A49)&gt;0,B49*C49,"")</f>
      </c>
    </row>
    <row r="50" ht="15" customHeight="1" s="4" customFormat="1">
      <c r="A50" s="4" t="str">
        <f>IF(LEN('Open Positions'!B48)&gt;0,'Open Positions'!B48,"")</f>
      </c>
      <c r="B50" s="4" t="str">
        <f>IF(LEN('CALC'!A50)&gt;0,'Open Positions'!F48,"")</f>
      </c>
      <c r="C50" s="39" t="str">
        <f>IF(LEN(A50)&gt;0,'Open Positions'!Q48,"")</f>
      </c>
      <c r="D50" s="29" t="str">
        <f>IF(LEN(A50)&gt;0,B50*C50,"")</f>
      </c>
    </row>
    <row r="51" ht="15" customHeight="1" s="4" customFormat="1">
      <c r="A51" s="4" t="str">
        <f>IF(LEN('Open Positions'!B49)&gt;0,'Open Positions'!B49,"")</f>
      </c>
      <c r="B51" s="4" t="str">
        <f>IF(LEN('CALC'!A51)&gt;0,'Open Positions'!F49,"")</f>
      </c>
      <c r="C51" s="39" t="str">
        <f>IF(LEN(A51)&gt;0,'Open Positions'!Q49,"")</f>
      </c>
      <c r="D51" s="29" t="str">
        <f>IF(LEN(A51)&gt;0,B51*C51,"")</f>
      </c>
    </row>
    <row r="52" ht="15" customHeight="1" s="4" customFormat="1">
      <c r="A52" s="4" t="str">
        <f>IF(LEN('Open Positions'!B50)&gt;0,'Open Positions'!B50,"")</f>
      </c>
      <c r="B52" s="4" t="str">
        <f>IF(LEN('CALC'!A52)&gt;0,'Open Positions'!F50,"")</f>
      </c>
      <c r="C52" s="39" t="str">
        <f>IF(LEN(A52)&gt;0,'Open Positions'!Q50,"")</f>
      </c>
      <c r="D52" s="29" t="str">
        <f>IF(LEN(A52)&gt;0,B52*C52,"")</f>
      </c>
    </row>
    <row r="53" ht="15" customHeight="1" s="4" customFormat="1">
      <c r="A53" s="4" t="str">
        <f>IF(LEN('Open Positions'!B51)&gt;0,'Open Positions'!B51,"")</f>
      </c>
      <c r="B53" s="4" t="str">
        <f>IF(LEN('CALC'!A53)&gt;0,'Open Positions'!F51,"")</f>
      </c>
      <c r="C53" s="39" t="str">
        <f>IF(LEN(A53)&gt;0,'Open Positions'!Q51,"")</f>
      </c>
      <c r="D53" s="29" t="str">
        <f>IF(LEN(A53)&gt;0,B53*C53,"")</f>
      </c>
    </row>
    <row r="54" ht="15" customHeight="1" s="4" customFormat="1">
      <c r="A54" s="4" t="str">
        <f>IF(LEN('Open Positions'!B52)&gt;0,'Open Positions'!B52,"")</f>
      </c>
      <c r="B54" s="4" t="str">
        <f>IF(LEN('CALC'!A54)&gt;0,'Open Positions'!F52,"")</f>
      </c>
      <c r="C54" s="39" t="str">
        <f>IF(LEN(A54)&gt;0,'Open Positions'!Q52,"")</f>
      </c>
      <c r="D54" s="29" t="str">
        <f>IF(LEN(A54)&gt;0,B54*C54,"")</f>
      </c>
    </row>
    <row r="55" ht="15" customHeight="1" s="4" customFormat="1">
      <c r="A55" s="4" t="str">
        <f>IF(LEN('Open Positions'!B53)&gt;0,'Open Positions'!B53,"")</f>
      </c>
      <c r="B55" s="4" t="str">
        <f>IF(LEN('CALC'!A55)&gt;0,'Open Positions'!F53,"")</f>
      </c>
      <c r="C55" s="39" t="str">
        <f>IF(LEN(A55)&gt;0,'Open Positions'!Q53,"")</f>
      </c>
      <c r="D55" s="29" t="str">
        <f>IF(LEN(A55)&gt;0,B55*C55,"")</f>
      </c>
    </row>
    <row r="56" ht="15" customHeight="1" s="4" customFormat="1">
      <c r="A56" s="4" t="str">
        <f>IF(LEN('Open Positions'!B54)&gt;0,'Open Positions'!B54,"")</f>
      </c>
      <c r="B56" s="4" t="str">
        <f>IF(LEN('CALC'!A56)&gt;0,'Open Positions'!F54,"")</f>
      </c>
      <c r="C56" s="39" t="str">
        <f>IF(LEN(A56)&gt;0,'Open Positions'!Q54,"")</f>
      </c>
      <c r="D56" s="29" t="str">
        <f>IF(LEN(A56)&gt;0,B56*C56,"")</f>
      </c>
    </row>
    <row r="57" ht="15" customHeight="1" s="4" customFormat="1">
      <c r="A57" s="4" t="str">
        <f>IF(LEN('Open Positions'!B55)&gt;0,'Open Positions'!B55,"")</f>
      </c>
      <c r="B57" s="4" t="str">
        <f>IF(LEN('CALC'!A57)&gt;0,'Open Positions'!F55,"")</f>
      </c>
      <c r="C57" s="39" t="str">
        <f>IF(LEN(A57)&gt;0,'Open Positions'!Q55,"")</f>
      </c>
      <c r="D57" s="29" t="str">
        <f>IF(LEN(A57)&gt;0,B57*C57,"")</f>
      </c>
    </row>
    <row r="58" ht="15" customHeight="1" s="4" customFormat="1">
      <c r="A58" s="4" t="str">
        <f>IF(LEN('Open Positions'!B56)&gt;0,'Open Positions'!B56,"")</f>
      </c>
      <c r="B58" s="4" t="str">
        <f>IF(LEN('CALC'!A58)&gt;0,'Open Positions'!F56,"")</f>
      </c>
      <c r="C58" s="39" t="str">
        <f>IF(LEN(A58)&gt;0,'Open Positions'!Q56,"")</f>
      </c>
      <c r="D58" s="29" t="str">
        <f>IF(LEN(A58)&gt;0,B58*C58,"")</f>
      </c>
    </row>
    <row r="59" ht="15" customHeight="1" s="4" customFormat="1">
      <c r="A59" s="4" t="str">
        <f>IF(LEN('Open Positions'!B57)&gt;0,'Open Positions'!B57,"")</f>
      </c>
      <c r="B59" s="4" t="str">
        <f>IF(LEN('CALC'!A59)&gt;0,'Open Positions'!F57,"")</f>
      </c>
      <c r="C59" s="39" t="str">
        <f>IF(LEN(A59)&gt;0,'Open Positions'!Q57,"")</f>
      </c>
      <c r="D59" s="29" t="str">
        <f>IF(LEN(A59)&gt;0,B59*C59,"")</f>
      </c>
    </row>
    <row r="60" ht="15" customHeight="1" s="4" customFormat="1">
      <c r="A60" s="4" t="str">
        <f>IF(LEN('Open Positions'!B58)&gt;0,'Open Positions'!B58,"")</f>
      </c>
      <c r="B60" s="4" t="str">
        <f>IF(LEN('CALC'!A60)&gt;0,'Open Positions'!F58,"")</f>
      </c>
      <c r="C60" s="39" t="str">
        <f>IF(LEN(A60)&gt;0,'Open Positions'!Q58,"")</f>
      </c>
      <c r="D60" s="29" t="str">
        <f>IF(LEN(A60)&gt;0,B60*C60,"")</f>
      </c>
    </row>
    <row r="61" ht="15" customHeight="1" s="4" customFormat="1">
      <c r="A61" s="4" t="str">
        <f>IF(LEN('Open Positions'!B59)&gt;0,'Open Positions'!B59,"")</f>
      </c>
      <c r="B61" s="4" t="str">
        <f>IF(LEN('CALC'!A61)&gt;0,'Open Positions'!F59,"")</f>
      </c>
      <c r="C61" s="39" t="str">
        <f>IF(LEN(A61)&gt;0,'Open Positions'!Q59,"")</f>
      </c>
      <c r="D61" s="29" t="str">
        <f>IF(LEN(A61)&gt;0,B61*C61,"")</f>
      </c>
    </row>
    <row r="62" ht="15" customHeight="1" s="4" customFormat="1">
      <c r="A62" s="4" t="str">
        <f>IF(LEN('Open Positions'!B60)&gt;0,'Open Positions'!B60,"")</f>
      </c>
      <c r="B62" s="4" t="str">
        <f>IF(LEN('CALC'!A62)&gt;0,'Open Positions'!F60,"")</f>
      </c>
      <c r="C62" s="39" t="str">
        <f>IF(LEN(A62)&gt;0,'Open Positions'!Q60,"")</f>
      </c>
      <c r="D62" s="29" t="str">
        <f>IF(LEN(A62)&gt;0,B62*C62,"")</f>
      </c>
    </row>
    <row r="63" ht="15" customHeight="1" s="4" customFormat="1">
      <c r="A63" s="4" t="str">
        <f>IF(LEN('Open Positions'!B61)&gt;0,'Open Positions'!B61,"")</f>
      </c>
      <c r="B63" s="4" t="str">
        <f>IF(LEN('CALC'!A63)&gt;0,'Open Positions'!F61,"")</f>
      </c>
      <c r="C63" s="39" t="str">
        <f>IF(LEN(A63)&gt;0,'Open Positions'!Q61,"")</f>
      </c>
      <c r="D63" s="29" t="str">
        <f>IF(LEN(A63)&gt;0,B63*C63,"")</f>
      </c>
    </row>
    <row r="64" ht="15" customHeight="1" s="4" customFormat="1">
      <c r="A64" s="4" t="str">
        <f>IF(LEN('Open Positions'!B62)&gt;0,'Open Positions'!B62,"")</f>
      </c>
      <c r="B64" s="4" t="str">
        <f>IF(LEN('CALC'!A64)&gt;0,'Open Positions'!F62,"")</f>
      </c>
      <c r="C64" s="39" t="str">
        <f>IF(LEN(A64)&gt;0,'Open Positions'!Q62,"")</f>
      </c>
      <c r="D64" s="29" t="str">
        <f>IF(LEN(A64)&gt;0,B64*C64,"")</f>
      </c>
    </row>
    <row r="65" ht="15" customHeight="1" s="4" customFormat="1">
      <c r="A65" s="4" t="str">
        <f>IF(LEN('Open Positions'!B63)&gt;0,'Open Positions'!B63,"")</f>
      </c>
      <c r="B65" s="4" t="str">
        <f>IF(LEN('CALC'!A65)&gt;0,'Open Positions'!F63,"")</f>
      </c>
      <c r="C65" s="39" t="str">
        <f>IF(LEN(A65)&gt;0,'Open Positions'!Q63,"")</f>
      </c>
      <c r="D65" s="29" t="str">
        <f>IF(LEN(A65)&gt;0,B65*C65,"")</f>
      </c>
    </row>
    <row r="66" ht="15" customHeight="1" s="4" customFormat="1">
      <c r="A66" s="4" t="str">
        <f>IF(LEN('Open Positions'!B64)&gt;0,'Open Positions'!B64,"")</f>
      </c>
      <c r="B66" s="4" t="str">
        <f>IF(LEN('CALC'!A66)&gt;0,'Open Positions'!F64,"")</f>
      </c>
      <c r="C66" s="39" t="str">
        <f>IF(LEN(A66)&gt;0,'Open Positions'!Q64,"")</f>
      </c>
      <c r="D66" s="29" t="str">
        <f>IF(LEN(A66)&gt;0,B66*C66,"")</f>
      </c>
    </row>
    <row r="67" ht="15" customHeight="1" s="4" customFormat="1">
      <c r="A67" s="4" t="str">
        <f>IF(LEN('Open Positions'!B65)&gt;0,'Open Positions'!B65,"")</f>
      </c>
      <c r="B67" s="4" t="str">
        <f>IF(LEN('CALC'!A67)&gt;0,'Open Positions'!F65,"")</f>
      </c>
      <c r="C67" s="39" t="str">
        <f>IF(LEN(A67)&gt;0,'Open Positions'!Q65,"")</f>
      </c>
      <c r="D67" s="29" t="str">
        <f>IF(LEN(A67)&gt;0,B67*C67,"")</f>
      </c>
    </row>
    <row r="68" ht="15" customHeight="1" s="4" customFormat="1">
      <c r="A68" s="4" t="str">
        <f>IF(LEN('Open Positions'!B66)&gt;0,'Open Positions'!B66,"")</f>
      </c>
      <c r="B68" s="4" t="str">
        <f>IF(LEN('CALC'!A68)&gt;0,'Open Positions'!F66,"")</f>
      </c>
      <c r="C68" s="39" t="str">
        <f>IF(LEN(A68)&gt;0,'Open Positions'!Q66,"")</f>
      </c>
      <c r="D68" s="29" t="str">
        <f>IF(LEN(A68)&gt;0,B68*C68,"")</f>
      </c>
    </row>
    <row r="69" ht="15" customHeight="1" s="4" customFormat="1">
      <c r="A69" s="4" t="str">
        <f>IF(LEN('Open Positions'!B67)&gt;0,'Open Positions'!B67,"")</f>
      </c>
      <c r="B69" s="4" t="str">
        <f>IF(LEN('CALC'!A69)&gt;0,'Open Positions'!F67,"")</f>
      </c>
      <c r="C69" s="39" t="str">
        <f>IF(LEN(A69)&gt;0,'Open Positions'!Q67,"")</f>
      </c>
      <c r="D69" s="29" t="str">
        <f>IF(LEN(A69)&gt;0,B69*C69,"")</f>
      </c>
    </row>
    <row r="70" ht="15" customHeight="1" s="4" customFormat="1">
      <c r="A70" s="4" t="str">
        <f>IF(LEN('Open Positions'!B68)&gt;0,'Open Positions'!B68,"")</f>
      </c>
      <c r="B70" s="4" t="str">
        <f>IF(LEN('CALC'!A70)&gt;0,'Open Positions'!F68,"")</f>
      </c>
      <c r="C70" s="39" t="str">
        <f>IF(LEN(A70)&gt;0,'Open Positions'!Q68,"")</f>
      </c>
      <c r="D70" s="29" t="str">
        <f>IF(LEN(A70)&gt;0,B70*C70,"")</f>
      </c>
    </row>
    <row r="71" ht="15" customHeight="1" s="4" customFormat="1">
      <c r="A71" s="4" t="str">
        <f>IF(LEN('Open Positions'!B69)&gt;0,'Open Positions'!B69,"")</f>
      </c>
      <c r="B71" s="4" t="str">
        <f>IF(LEN('CALC'!A71)&gt;0,'Open Positions'!F69,"")</f>
      </c>
      <c r="C71" s="39" t="str">
        <f>IF(LEN(A71)&gt;0,'Open Positions'!Q69,"")</f>
      </c>
      <c r="D71" s="29" t="str">
        <f>IF(LEN(A71)&gt;0,B71*C71,"")</f>
      </c>
    </row>
    <row r="72" ht="15" customHeight="1" s="4" customFormat="1">
      <c r="A72" s="4" t="str">
        <f>IF(LEN('Open Positions'!B70)&gt;0,'Open Positions'!B70,"")</f>
      </c>
      <c r="B72" s="4" t="str">
        <f>IF(LEN('CALC'!A72)&gt;0,'Open Positions'!F70,"")</f>
      </c>
      <c r="C72" s="39" t="str">
        <f>IF(LEN(A72)&gt;0,'Open Positions'!Q70,"")</f>
      </c>
      <c r="D72" s="29" t="str">
        <f>IF(LEN(A72)&gt;0,B72*C72,"")</f>
      </c>
    </row>
    <row r="73" ht="15" customHeight="1" s="4" customFormat="1">
      <c r="A73" s="4" t="str">
        <f>IF(LEN('Open Positions'!B71)&gt;0,'Open Positions'!B71,"")</f>
      </c>
      <c r="B73" s="4" t="str">
        <f>IF(LEN('CALC'!A73)&gt;0,'Open Positions'!F71,"")</f>
      </c>
      <c r="C73" s="39" t="str">
        <f>IF(LEN(A73)&gt;0,'Open Positions'!Q71,"")</f>
      </c>
      <c r="D73" s="29" t="str">
        <f>IF(LEN(A73)&gt;0,B73*C73,"")</f>
      </c>
    </row>
    <row r="74" ht="15" customHeight="1" s="4" customFormat="1">
      <c r="A74" s="4" t="str">
        <f>IF(LEN('Open Positions'!B72)&gt;0,'Open Positions'!B72,"")</f>
      </c>
      <c r="B74" s="4" t="str">
        <f>IF(LEN('CALC'!A74)&gt;0,'Open Positions'!F72,"")</f>
      </c>
      <c r="C74" s="39" t="str">
        <f>IF(LEN(A74)&gt;0,'Open Positions'!Q72,"")</f>
      </c>
      <c r="D74" s="29" t="str">
        <f>IF(LEN(A74)&gt;0,B74*C74,"")</f>
      </c>
    </row>
    <row r="75" ht="15" customHeight="1" s="4" customFormat="1">
      <c r="A75" s="4" t="str">
        <f>IF(LEN('Open Positions'!B73)&gt;0,'Open Positions'!B73,"")</f>
      </c>
      <c r="B75" s="4" t="str">
        <f>IF(LEN('CALC'!A75)&gt;0,'Open Positions'!F73,"")</f>
      </c>
      <c r="C75" s="39" t="str">
        <f>IF(LEN(A75)&gt;0,'Open Positions'!Q73,"")</f>
      </c>
      <c r="D75" s="29" t="str">
        <f>IF(LEN(A75)&gt;0,B75*C75,"")</f>
      </c>
    </row>
    <row r="76" ht="15" customHeight="1" s="4" customFormat="1">
      <c r="A76" s="4" t="str">
        <f>IF(LEN('Open Positions'!B74)&gt;0,'Open Positions'!B74,"")</f>
      </c>
      <c r="B76" s="4" t="str">
        <f>IF(LEN('CALC'!A76)&gt;0,'Open Positions'!F74,"")</f>
      </c>
      <c r="C76" s="39" t="str">
        <f>IF(LEN(A76)&gt;0,'Open Positions'!Q74,"")</f>
      </c>
      <c r="D76" s="29" t="str">
        <f>IF(LEN(A76)&gt;0,B76*C76,"")</f>
      </c>
    </row>
    <row r="77" ht="15" customHeight="1" s="4" customFormat="1">
      <c r="A77" s="4" t="str">
        <f>IF(LEN('Open Positions'!B75)&gt;0,'Open Positions'!B75,"")</f>
      </c>
      <c r="B77" s="4" t="str">
        <f>IF(LEN('CALC'!A77)&gt;0,'Open Positions'!F75,"")</f>
      </c>
      <c r="C77" s="39" t="str">
        <f>IF(LEN(A77)&gt;0,'Open Positions'!Q75,"")</f>
      </c>
      <c r="D77" s="29" t="str">
        <f>IF(LEN(A77)&gt;0,B77*C77,"")</f>
      </c>
    </row>
    <row r="78" ht="15" customHeight="1" s="4" customFormat="1">
      <c r="A78" s="4" t="str">
        <f>IF(LEN('Open Positions'!B76)&gt;0,'Open Positions'!B76,"")</f>
      </c>
      <c r="B78" s="4" t="str">
        <f>IF(LEN('CALC'!A78)&gt;0,'Open Positions'!F76,"")</f>
      </c>
      <c r="C78" s="39" t="str">
        <f>IF(LEN(A78)&gt;0,'Open Positions'!Q76,"")</f>
      </c>
      <c r="D78" s="29" t="str">
        <f>IF(LEN(A78)&gt;0,B78*C78,"")</f>
      </c>
    </row>
    <row r="79" ht="15" customHeight="1" s="4" customFormat="1">
      <c r="A79" s="4" t="str">
        <f>IF(LEN('Open Positions'!B77)&gt;0,'Open Positions'!B77,"")</f>
      </c>
      <c r="B79" s="4" t="str">
        <f>IF(LEN('CALC'!A79)&gt;0,'Open Positions'!F77,"")</f>
      </c>
      <c r="C79" s="39" t="str">
        <f>IF(LEN(A79)&gt;0,'Open Positions'!Q77,"")</f>
      </c>
      <c r="D79" s="29" t="str">
        <f>IF(LEN(A79)&gt;0,B79*C79,"")</f>
      </c>
    </row>
    <row r="80" ht="15" customHeight="1" s="4" customFormat="1">
      <c r="A80" s="4" t="str">
        <f>IF(LEN('Open Positions'!B78)&gt;0,'Open Positions'!B78,"")</f>
      </c>
      <c r="B80" s="4" t="str">
        <f>IF(LEN('CALC'!A80)&gt;0,'Open Positions'!F78,"")</f>
      </c>
      <c r="C80" s="39" t="str">
        <f>IF(LEN(A80)&gt;0,'Open Positions'!Q78,"")</f>
      </c>
      <c r="D80" s="29" t="str">
        <f>IF(LEN(A80)&gt;0,B80*C80,"")</f>
      </c>
    </row>
    <row r="81" ht="15" customHeight="1" s="4" customFormat="1">
      <c r="A81" s="4" t="str">
        <f>IF(LEN('Open Positions'!B79)&gt;0,'Open Positions'!B79,"")</f>
      </c>
      <c r="B81" s="4" t="str">
        <f>IF(LEN('CALC'!A81)&gt;0,'Open Positions'!F79,"")</f>
      </c>
      <c r="C81" s="39" t="str">
        <f>IF(LEN(A81)&gt;0,'Open Positions'!Q79,"")</f>
      </c>
      <c r="D81" s="29" t="str">
        <f>IF(LEN(A81)&gt;0,B81*C81,"")</f>
      </c>
    </row>
    <row r="82" ht="15" customHeight="1" s="4" customFormat="1">
      <c r="A82" s="4" t="str">
        <f>IF(LEN('Open Positions'!B80)&gt;0,'Open Positions'!B80,"")</f>
      </c>
      <c r="B82" s="4" t="str">
        <f>IF(LEN('CALC'!A82)&gt;0,'Open Positions'!F80,"")</f>
      </c>
      <c r="C82" s="39" t="str">
        <f>IF(LEN(A82)&gt;0,'Open Positions'!Q80,"")</f>
      </c>
      <c r="D82" s="29" t="str">
        <f>IF(LEN(A82)&gt;0,B82*C82,"")</f>
      </c>
    </row>
    <row r="83" ht="15" customHeight="1" s="4" customFormat="1">
      <c r="A83" s="4" t="str">
        <f>IF(LEN('Open Positions'!B81)&gt;0,'Open Positions'!B81,"")</f>
      </c>
      <c r="B83" s="4" t="str">
        <f>IF(LEN('CALC'!A83)&gt;0,'Open Positions'!F81,"")</f>
      </c>
      <c r="C83" s="39" t="str">
        <f>IF(LEN(A83)&gt;0,'Open Positions'!Q81,"")</f>
      </c>
      <c r="D83" s="29" t="str">
        <f>IF(LEN(A83)&gt;0,B83*C83,"")</f>
      </c>
    </row>
    <row r="84" ht="15" customHeight="1" s="4" customFormat="1">
      <c r="A84" s="4" t="str">
        <f>IF(LEN('Open Positions'!B82)&gt;0,'Open Positions'!B82,"")</f>
      </c>
      <c r="B84" s="4" t="str">
        <f>IF(LEN('CALC'!A84)&gt;0,'Open Positions'!F82,"")</f>
      </c>
      <c r="C84" s="39" t="str">
        <f>IF(LEN(A84)&gt;0,'Open Positions'!Q82,"")</f>
      </c>
      <c r="D84" s="29" t="str">
        <f>IF(LEN(A84)&gt;0,B84*C84,"")</f>
      </c>
    </row>
    <row r="85" ht="15" customHeight="1" s="4" customFormat="1">
      <c r="A85" s="4" t="str">
        <f>IF(LEN('Open Positions'!B83)&gt;0,'Open Positions'!B83,"")</f>
      </c>
      <c r="B85" s="4" t="str">
        <f>IF(LEN('CALC'!A85)&gt;0,'Open Positions'!F83,"")</f>
      </c>
      <c r="C85" s="39" t="str">
        <f>IF(LEN(A85)&gt;0,'Open Positions'!Q83,"")</f>
      </c>
      <c r="D85" s="29" t="str">
        <f>IF(LEN(A85)&gt;0,B85*C85,"")</f>
      </c>
    </row>
    <row r="86" ht="15" customHeight="1" s="4" customFormat="1">
      <c r="A86" s="4" t="str">
        <f>IF(LEN('Open Positions'!B84)&gt;0,'Open Positions'!B84,"")</f>
      </c>
      <c r="B86" s="4" t="str">
        <f>IF(LEN('CALC'!A86)&gt;0,'Open Positions'!F84,"")</f>
      </c>
      <c r="C86" s="39" t="str">
        <f>IF(LEN(A86)&gt;0,'Open Positions'!Q84,"")</f>
      </c>
      <c r="D86" s="29" t="str">
        <f>IF(LEN(A86)&gt;0,B86*C86,"")</f>
      </c>
    </row>
    <row r="87" ht="15" customHeight="1" s="4" customFormat="1">
      <c r="A87" s="4" t="str">
        <f>IF(LEN('Open Positions'!B85)&gt;0,'Open Positions'!B85,"")</f>
      </c>
      <c r="B87" s="4" t="str">
        <f>IF(LEN('CALC'!A87)&gt;0,'Open Positions'!F85,"")</f>
      </c>
      <c r="C87" s="39" t="str">
        <f>IF(LEN(A87)&gt;0,'Open Positions'!Q85,"")</f>
      </c>
      <c r="D87" s="29" t="str">
        <f>IF(LEN(A87)&gt;0,B87*C87,"")</f>
      </c>
    </row>
    <row r="88" ht="15" customHeight="1" s="4" customFormat="1">
      <c r="A88" s="4" t="str">
        <f>IF(LEN('Open Positions'!B86)&gt;0,'Open Positions'!B86,"")</f>
      </c>
      <c r="B88" s="4" t="str">
        <f>IF(LEN('CALC'!A88)&gt;0,'Open Positions'!F86,"")</f>
      </c>
      <c r="C88" s="39" t="str">
        <f>IF(LEN(A88)&gt;0,'Open Positions'!Q86,"")</f>
      </c>
      <c r="D88" s="29" t="str">
        <f>IF(LEN(A88)&gt;0,B88*C88,"")</f>
      </c>
    </row>
    <row r="89" ht="15" customHeight="1" s="4" customFormat="1">
      <c r="A89" s="4" t="str">
        <f>IF(LEN('Open Positions'!B87)&gt;0,'Open Positions'!B87,"")</f>
      </c>
      <c r="B89" s="4" t="str">
        <f>IF(LEN('CALC'!A89)&gt;0,'Open Positions'!F87,"")</f>
      </c>
      <c r="C89" s="39" t="str">
        <f>IF(LEN(A89)&gt;0,'Open Positions'!Q87,"")</f>
      </c>
      <c r="D89" s="29" t="str">
        <f>IF(LEN(A89)&gt;0,B89*C89,"")</f>
      </c>
    </row>
    <row r="90" ht="15" customHeight="1" s="4" customFormat="1">
      <c r="A90" s="4" t="str">
        <f>IF(LEN('Open Positions'!B88)&gt;0,'Open Positions'!B88,"")</f>
      </c>
      <c r="B90" s="4" t="str">
        <f>IF(LEN('CALC'!A90)&gt;0,'Open Positions'!F88,"")</f>
      </c>
      <c r="C90" s="39" t="str">
        <f>IF(LEN(A90)&gt;0,'Open Positions'!Q88,"")</f>
      </c>
      <c r="D90" s="29" t="str">
        <f>IF(LEN(A90)&gt;0,B90*C90,"")</f>
      </c>
    </row>
    <row r="91" ht="15" customHeight="1" s="4" customFormat="1">
      <c r="A91" s="4" t="str">
        <f>IF(LEN('Open Positions'!B89)&gt;0,'Open Positions'!B89,"")</f>
      </c>
      <c r="B91" s="4" t="str">
        <f>IF(LEN('CALC'!A91)&gt;0,'Open Positions'!F89,"")</f>
      </c>
      <c r="C91" s="39" t="str">
        <f>IF(LEN(A91)&gt;0,'Open Positions'!Q89,"")</f>
      </c>
      <c r="D91" s="29" t="str">
        <f>IF(LEN(A91)&gt;0,B91*C91,"")</f>
      </c>
    </row>
    <row r="92" ht="15" customHeight="1" s="4" customFormat="1">
      <c r="A92" s="4" t="str">
        <f>IF(LEN('Open Positions'!B90)&gt;0,'Open Positions'!B90,"")</f>
      </c>
      <c r="B92" s="4" t="str">
        <f>IF(LEN('CALC'!A92)&gt;0,'Open Positions'!F90,"")</f>
      </c>
      <c r="C92" s="39" t="str">
        <f>IF(LEN(A92)&gt;0,'Open Positions'!Q90,"")</f>
      </c>
      <c r="D92" s="29" t="str">
        <f>IF(LEN(A92)&gt;0,B92*C92,"")</f>
      </c>
    </row>
    <row r="93" ht="15" customHeight="1" s="4" customFormat="1">
      <c r="A93" s="4" t="str">
        <f>IF(LEN('Open Positions'!B91)&gt;0,'Open Positions'!B91,"")</f>
      </c>
      <c r="B93" s="4" t="str">
        <f>IF(LEN('CALC'!A93)&gt;0,'Open Positions'!F91,"")</f>
      </c>
      <c r="C93" s="39" t="str">
        <f>IF(LEN(A93)&gt;0,'Open Positions'!Q91,"")</f>
      </c>
      <c r="D93" s="29" t="str">
        <f>IF(LEN(A93)&gt;0,B93*C93,"")</f>
      </c>
    </row>
    <row r="94" ht="15" customHeight="1" s="4" customFormat="1">
      <c r="A94" s="4" t="str">
        <f>IF(LEN('Open Positions'!B92)&gt;0,'Open Positions'!B92,"")</f>
      </c>
      <c r="B94" s="4" t="str">
        <f>IF(LEN('CALC'!A94)&gt;0,'Open Positions'!F92,"")</f>
      </c>
      <c r="C94" s="39" t="str">
        <f>IF(LEN(A94)&gt;0,'Open Positions'!Q92,"")</f>
      </c>
      <c r="D94" s="29" t="str">
        <f>IF(LEN(A94)&gt;0,B94*C94,"")</f>
      </c>
    </row>
    <row r="95" ht="15" customHeight="1" s="4" customFormat="1">
      <c r="A95" s="4" t="str">
        <f>IF(LEN('Open Positions'!B93)&gt;0,'Open Positions'!B93,"")</f>
      </c>
      <c r="B95" s="4" t="str">
        <f>IF(LEN('CALC'!A95)&gt;0,'Open Positions'!F93,"")</f>
      </c>
      <c r="C95" s="39" t="str">
        <f>IF(LEN(A95)&gt;0,'Open Positions'!Q93,"")</f>
      </c>
      <c r="D95" s="29" t="str">
        <f>IF(LEN(A95)&gt;0,B95*C95,"")</f>
      </c>
    </row>
    <row r="96" ht="15" customHeight="1" s="4" customFormat="1">
      <c r="A96" s="4" t="str">
        <f>IF(LEN('Open Positions'!B94)&gt;0,'Open Positions'!B94,"")</f>
      </c>
      <c r="B96" s="4" t="str">
        <f>IF(LEN('CALC'!A96)&gt;0,'Open Positions'!F94,"")</f>
      </c>
      <c r="C96" s="39" t="str">
        <f>IF(LEN(A96)&gt;0,'Open Positions'!Q94,"")</f>
      </c>
      <c r="D96" s="29" t="str">
        <f>IF(LEN(A96)&gt;0,B96*C96,"")</f>
      </c>
    </row>
    <row r="97" ht="15" customHeight="1" s="4" customFormat="1">
      <c r="A97" s="4" t="str">
        <f>IF(LEN('Open Positions'!B95)&gt;0,'Open Positions'!B95,"")</f>
      </c>
      <c r="B97" s="4" t="str">
        <f>IF(LEN('CALC'!A97)&gt;0,'Open Positions'!F95,"")</f>
      </c>
      <c r="C97" s="39" t="str">
        <f>IF(LEN(A97)&gt;0,'Open Positions'!Q95,"")</f>
      </c>
      <c r="D97" s="29" t="str">
        <f>IF(LEN(A97)&gt;0,B97*C97,"")</f>
      </c>
    </row>
    <row r="98" ht="15" customHeight="1" s="4" customFormat="1">
      <c r="A98" s="4" t="str">
        <f>IF(LEN('Open Positions'!B96)&gt;0,'Open Positions'!B96,"")</f>
      </c>
      <c r="B98" s="4" t="str">
        <f>IF(LEN('CALC'!A98)&gt;0,'Open Positions'!F96,"")</f>
      </c>
      <c r="C98" s="39" t="str">
        <f>IF(LEN(A98)&gt;0,'Open Positions'!Q96,"")</f>
      </c>
      <c r="D98" s="29" t="str">
        <f>IF(LEN(A98)&gt;0,B98*C98,"")</f>
      </c>
    </row>
    <row r="99" ht="15" customHeight="1" s="4" customFormat="1">
      <c r="A99" s="4" t="str">
        <f>IF(LEN('Open Positions'!B97)&gt;0,'Open Positions'!B97,"")</f>
      </c>
      <c r="B99" s="4" t="str">
        <f>IF(LEN('CALC'!A99)&gt;0,'Open Positions'!F97,"")</f>
      </c>
      <c r="C99" s="39" t="str">
        <f>IF(LEN(A99)&gt;0,'Open Positions'!Q97,"")</f>
      </c>
      <c r="D99" s="29" t="str">
        <f>IF(LEN(A99)&gt;0,B99*C99,"")</f>
      </c>
    </row>
    <row r="100" ht="15" customHeight="1" s="4" customFormat="1">
      <c r="A100" s="4" t="str">
        <f>IF(LEN('Open Positions'!B98)&gt;0,'Open Positions'!B98,"")</f>
      </c>
      <c r="B100" s="4" t="str">
        <f>IF(LEN('CALC'!A100)&gt;0,'Open Positions'!F98,"")</f>
      </c>
      <c r="C100" s="39" t="str">
        <f>IF(LEN(A100)&gt;0,'Open Positions'!Q98,"")</f>
      </c>
      <c r="D100" s="29" t="str">
        <f>IF(LEN(A100)&gt;0,B100*C100,"")</f>
      </c>
    </row>
    <row r="101" ht="15" customHeight="1" s="4" customFormat="1">
      <c r="A101" s="4" t="str">
        <f>IF(LEN('Open Positions'!B99)&gt;0,'Open Positions'!B99,"")</f>
      </c>
      <c r="B101" s="4" t="str">
        <f>IF(LEN('CALC'!A101)&gt;0,'Open Positions'!F99,"")</f>
      </c>
      <c r="C101" s="39" t="str">
        <f>IF(LEN(A101)&gt;0,'Open Positions'!Q99,"")</f>
      </c>
      <c r="D101" s="29" t="str">
        <f>IF(LEN(A101)&gt;0,B101*C101,"")</f>
      </c>
    </row>
    <row r="102" ht="15" customHeight="1" s="4" customFormat="1">
      <c r="A102" s="4" t="str">
        <f>IF(LEN('Open Positions'!B100)&gt;0,'Open Positions'!B100,"")</f>
      </c>
      <c r="B102" s="4" t="str">
        <f>IF(LEN('CALC'!A102)&gt;0,'Open Positions'!F100,"")</f>
      </c>
      <c r="C102" s="39" t="str">
        <f>IF(LEN(A102)&gt;0,'Open Positions'!Q100,"")</f>
      </c>
      <c r="D102" s="29" t="str">
        <f>IF(LEN(A102)&gt;0,B102*C102,"")</f>
      </c>
    </row>
    <row r="103" ht="15" customHeight="1" s="4" customFormat="1">
      <c r="A103" s="4" t="str">
        <f>IF(LEN('Open Positions'!B101)&gt;0,'Open Positions'!B101,"")</f>
      </c>
      <c r="B103" s="4" t="str">
        <f>IF(LEN('CALC'!A103)&gt;0,'Open Positions'!F101,"")</f>
      </c>
      <c r="C103" s="39" t="str">
        <f>IF(LEN(A103)&gt;0,'Open Positions'!Q101,"")</f>
      </c>
      <c r="D103" s="29" t="str">
        <f>IF(LEN(A103)&gt;0,B103*C103,"")</f>
      </c>
    </row>
    <row r="104" ht="15" customHeight="1" s="4" customFormat="1">
      <c r="A104" s="4" t="str">
        <f>IF(LEN('Open Positions'!B102)&gt;0,'Open Positions'!B102,"")</f>
      </c>
      <c r="B104" s="4" t="str">
        <f>IF(LEN('CALC'!A104)&gt;0,'Open Positions'!F102,"")</f>
      </c>
      <c r="C104" s="39" t="str">
        <f>IF(LEN(A104)&gt;0,'Open Positions'!Q102,"")</f>
      </c>
      <c r="D104" s="29" t="str">
        <f>IF(LEN(A104)&gt;0,B104*C104,"")</f>
      </c>
    </row>
    <row r="105" ht="15" customHeight="1" s="4" customFormat="1">
      <c r="A105" s="4" t="str">
        <f>IF(LEN('Open Positions'!B103)&gt;0,'Open Positions'!B103,"")</f>
      </c>
      <c r="B105" s="4" t="str">
        <f>IF(LEN('CALC'!A105)&gt;0,'Open Positions'!F103,"")</f>
      </c>
      <c r="C105" s="39" t="str">
        <f>IF(LEN(A105)&gt;0,'Open Positions'!Q103,"")</f>
      </c>
      <c r="D105" s="29" t="str">
        <f>IF(LEN(A105)&gt;0,B105*C105,"")</f>
      </c>
    </row>
    <row r="106" ht="15" customHeight="1" s="4" customFormat="1">
      <c r="A106" s="4" t="str">
        <f>IF(LEN('Open Positions'!B104)&gt;0,'Open Positions'!B104,"")</f>
      </c>
      <c r="B106" s="4" t="str">
        <f>IF(LEN('CALC'!A106)&gt;0,'Open Positions'!F104,"")</f>
      </c>
      <c r="C106" s="39" t="str">
        <f>IF(LEN(A106)&gt;0,'Open Positions'!Q104,"")</f>
      </c>
      <c r="D106" s="29" t="str">
        <f>IF(LEN(A106)&gt;0,B106*C106,"")</f>
      </c>
    </row>
    <row r="107" ht="15" customHeight="1" s="4" customFormat="1">
      <c r="A107" s="4" t="str">
        <f>IF(LEN('Open Positions'!B105)&gt;0,'Open Positions'!B105,"")</f>
      </c>
      <c r="B107" s="4" t="str">
        <f>IF(LEN('CALC'!A107)&gt;0,'Open Positions'!F105,"")</f>
      </c>
      <c r="C107" s="39" t="str">
        <f>IF(LEN(A107)&gt;0,'Open Positions'!Q105,"")</f>
      </c>
      <c r="D107" s="29" t="str">
        <f>IF(LEN(A107)&gt;0,B107*C107,"")</f>
      </c>
    </row>
    <row r="108" ht="15" customHeight="1" s="4" customFormat="1">
      <c r="A108" s="4" t="str">
        <f>IF(LEN('Open Positions'!B106)&gt;0,'Open Positions'!B106,"")</f>
      </c>
      <c r="B108" s="4" t="str">
        <f>IF(LEN('CALC'!A108)&gt;0,'Open Positions'!F106,"")</f>
      </c>
      <c r="C108" s="39" t="str">
        <f>IF(LEN(A108)&gt;0,'Open Positions'!Q106,"")</f>
      </c>
      <c r="D108" s="29" t="str">
        <f>IF(LEN(A108)&gt;0,B108*C108,"")</f>
      </c>
    </row>
    <row r="109" ht="15" customHeight="1" s="4" customFormat="1">
      <c r="A109" s="4" t="str">
        <f>IF(LEN('Open Positions'!B107)&gt;0,'Open Positions'!B107,"")</f>
      </c>
      <c r="B109" s="4" t="str">
        <f>IF(LEN('CALC'!A109)&gt;0,'Open Positions'!F107,"")</f>
      </c>
      <c r="C109" s="39" t="str">
        <f>IF(LEN(A109)&gt;0,'Open Positions'!Q107,"")</f>
      </c>
      <c r="D109" s="29" t="str">
        <f>IF(LEN(A109)&gt;0,B109*C109,"")</f>
      </c>
    </row>
    <row r="110" ht="15" customHeight="1" s="4" customFormat="1">
      <c r="A110" s="4" t="str">
        <f>IF(LEN('Open Positions'!B108)&gt;0,'Open Positions'!B108,"")</f>
      </c>
      <c r="B110" s="4" t="str">
        <f>IF(LEN('CALC'!A110)&gt;0,'Open Positions'!F108,"")</f>
      </c>
      <c r="C110" s="39" t="str">
        <f>IF(LEN(A110)&gt;0,'Open Positions'!Q108,"")</f>
      </c>
      <c r="D110" s="29" t="str">
        <f>IF(LEN(A110)&gt;0,B110*C110,"")</f>
      </c>
    </row>
    <row r="111" ht="15" customHeight="1" s="4" customFormat="1">
      <c r="A111" s="4" t="str">
        <f>IF(LEN('Open Positions'!B109)&gt;0,'Open Positions'!B109,"")</f>
      </c>
      <c r="B111" s="4" t="str">
        <f>IF(LEN('CALC'!A111)&gt;0,'Open Positions'!F109,"")</f>
      </c>
      <c r="C111" s="39" t="str">
        <f>IF(LEN(A111)&gt;0,'Open Positions'!Q109,"")</f>
      </c>
      <c r="D111" s="29" t="str">
        <f>IF(LEN(A111)&gt;0,B111*C111,"")</f>
      </c>
    </row>
    <row r="112" ht="15" customHeight="1" s="4" customFormat="1">
      <c r="A112" s="4" t="str">
        <f>IF(LEN('Open Positions'!B110)&gt;0,'Open Positions'!B110,"")</f>
      </c>
      <c r="B112" s="4" t="str">
        <f>IF(LEN('CALC'!A112)&gt;0,'Open Positions'!F110,"")</f>
      </c>
      <c r="C112" s="39" t="str">
        <f>IF(LEN(A112)&gt;0,'Open Positions'!Q110,"")</f>
      </c>
      <c r="D112" s="29" t="str">
        <f>IF(LEN(A112)&gt;0,B112*C112,"")</f>
      </c>
    </row>
    <row r="113" ht="15" customHeight="1" s="4" customFormat="1">
      <c r="A113" s="4" t="str">
        <f>IF(LEN('Open Positions'!B111)&gt;0,'Open Positions'!B111,"")</f>
      </c>
      <c r="B113" s="4" t="str">
        <f>IF(LEN('CALC'!A113)&gt;0,'Open Positions'!F111,"")</f>
      </c>
      <c r="C113" s="39" t="str">
        <f>IF(LEN(A113)&gt;0,'Open Positions'!Q111,"")</f>
      </c>
      <c r="D113" s="29" t="str">
        <f>IF(LEN(A113)&gt;0,B113*C113,"")</f>
      </c>
    </row>
    <row r="114" ht="15" customHeight="1" s="4" customFormat="1">
      <c r="A114" s="4" t="str">
        <f>IF(LEN('Open Positions'!B112)&gt;0,'Open Positions'!B112,"")</f>
      </c>
      <c r="B114" s="4" t="str">
        <f>IF(LEN('CALC'!A114)&gt;0,'Open Positions'!F112,"")</f>
      </c>
      <c r="C114" s="39" t="str">
        <f>IF(LEN(A114)&gt;0,'Open Positions'!Q112,"")</f>
      </c>
      <c r="D114" s="29" t="str">
        <f>IF(LEN(A114)&gt;0,B114*C114,"")</f>
      </c>
    </row>
    <row r="115" ht="15" customHeight="1" s="4" customFormat="1">
      <c r="A115" s="4" t="str">
        <f>IF(LEN('Open Positions'!B113)&gt;0,'Open Positions'!B113,"")</f>
      </c>
      <c r="B115" s="4" t="str">
        <f>IF(LEN('CALC'!A115)&gt;0,'Open Positions'!F113,"")</f>
      </c>
      <c r="C115" s="39" t="str">
        <f>IF(LEN(A115)&gt;0,'Open Positions'!Q113,"")</f>
      </c>
      <c r="D115" s="29" t="str">
        <f>IF(LEN(A115)&gt;0,B115*C115,"")</f>
      </c>
    </row>
    <row r="116" ht="15" customHeight="1" s="4" customFormat="1">
      <c r="A116" s="4" t="str">
        <f>IF(LEN('Open Positions'!B114)&gt;0,'Open Positions'!B114,"")</f>
      </c>
      <c r="B116" s="4" t="str">
        <f>IF(LEN('CALC'!A116)&gt;0,'Open Positions'!F114,"")</f>
      </c>
      <c r="C116" s="39" t="str">
        <f>IF(LEN(A116)&gt;0,'Open Positions'!Q114,"")</f>
      </c>
      <c r="D116" s="29" t="str">
        <f>IF(LEN(A116)&gt;0,B116*C116,"")</f>
      </c>
    </row>
    <row r="117" ht="15" customHeight="1" s="4" customFormat="1">
      <c r="A117" s="4" t="str">
        <f>IF(LEN('Open Positions'!B115)&gt;0,'Open Positions'!B115,"")</f>
      </c>
      <c r="B117" s="4" t="str">
        <f>IF(LEN('CALC'!A117)&gt;0,'Open Positions'!F115,"")</f>
      </c>
      <c r="C117" s="39" t="str">
        <f>IF(LEN(A117)&gt;0,'Open Positions'!Q115,"")</f>
      </c>
      <c r="D117" s="29" t="str">
        <f>IF(LEN(A117)&gt;0,B117*C117,"")</f>
      </c>
    </row>
    <row r="118" ht="15" customHeight="1" s="4" customFormat="1">
      <c r="A118" s="4" t="str">
        <f>IF(LEN('Open Positions'!B116)&gt;0,'Open Positions'!B116,"")</f>
      </c>
      <c r="B118" s="4" t="str">
        <f>IF(LEN('CALC'!A118)&gt;0,'Open Positions'!F116,"")</f>
      </c>
      <c r="C118" s="39" t="str">
        <f>IF(LEN(A118)&gt;0,'Open Positions'!Q116,"")</f>
      </c>
      <c r="D118" s="29" t="str">
        <f>IF(LEN(A118)&gt;0,B118*C118,"")</f>
      </c>
    </row>
    <row r="119" ht="15" customHeight="1" s="4" customFormat="1">
      <c r="A119" s="4" t="str">
        <f>IF(LEN('Open Positions'!B117)&gt;0,'Open Positions'!B117,"")</f>
      </c>
      <c r="B119" s="4" t="str">
        <f>IF(LEN('CALC'!A119)&gt;0,'Open Positions'!F117,"")</f>
      </c>
      <c r="C119" s="39" t="str">
        <f>IF(LEN(A119)&gt;0,'Open Positions'!Q117,"")</f>
      </c>
      <c r="D119" s="29" t="str">
        <f>IF(LEN(A119)&gt;0,B119*C119,"")</f>
      </c>
    </row>
    <row r="120" ht="15" customHeight="1" s="4" customFormat="1">
      <c r="A120" s="4" t="str">
        <f>IF(LEN('Open Positions'!B118)&gt;0,'Open Positions'!B118,"")</f>
      </c>
      <c r="B120" s="4" t="str">
        <f>IF(LEN('CALC'!A120)&gt;0,'Open Positions'!F118,"")</f>
      </c>
      <c r="C120" s="39" t="str">
        <f>IF(LEN(A120)&gt;0,'Open Positions'!Q118,"")</f>
      </c>
      <c r="D120" s="29" t="str">
        <f>IF(LEN(A120)&gt;0,B120*C120,"")</f>
      </c>
    </row>
    <row r="121" ht="15" customHeight="1" s="4" customFormat="1">
      <c r="A121" s="4" t="str">
        <f>IF(LEN('Open Positions'!B119)&gt;0,'Open Positions'!B119,"")</f>
      </c>
      <c r="B121" s="4" t="str">
        <f>IF(LEN('CALC'!A121)&gt;0,'Open Positions'!F119,"")</f>
      </c>
      <c r="C121" s="39" t="str">
        <f>IF(LEN(A121)&gt;0,'Open Positions'!Q119,"")</f>
      </c>
      <c r="D121" s="29" t="str">
        <f>IF(LEN(A121)&gt;0,B121*C121,"")</f>
      </c>
    </row>
    <row r="122" ht="15" customHeight="1" s="4" customFormat="1">
      <c r="A122" s="4" t="str">
        <f>IF(LEN('Open Positions'!B120)&gt;0,'Open Positions'!B120,"")</f>
      </c>
      <c r="B122" s="4" t="str">
        <f>IF(LEN('CALC'!A122)&gt;0,'Open Positions'!F120,"")</f>
      </c>
      <c r="C122" s="39" t="str">
        <f>IF(LEN(A122)&gt;0,'Open Positions'!Q120,"")</f>
      </c>
      <c r="D122" s="29" t="str">
        <f>IF(LEN(A122)&gt;0,B122*C122,"")</f>
      </c>
    </row>
    <row r="123" ht="15" customHeight="1" s="4" customFormat="1">
      <c r="A123" s="4" t="str">
        <f>IF(LEN('Open Positions'!B121)&gt;0,'Open Positions'!B121,"")</f>
      </c>
      <c r="B123" s="4" t="str">
        <f>IF(LEN('CALC'!A123)&gt;0,'Open Positions'!F121,"")</f>
      </c>
      <c r="C123" s="39" t="str">
        <f>IF(LEN(A123)&gt;0,'Open Positions'!Q121,"")</f>
      </c>
      <c r="D123" s="29" t="str">
        <f>IF(LEN(A123)&gt;0,B123*C123,"")</f>
      </c>
    </row>
    <row r="124" ht="15" customHeight="1" s="4" customFormat="1">
      <c r="A124" s="4" t="str">
        <f>IF(LEN('Open Positions'!B122)&gt;0,'Open Positions'!B122,"")</f>
      </c>
      <c r="B124" s="4" t="str">
        <f>IF(LEN('CALC'!A124)&gt;0,'Open Positions'!F122,"")</f>
      </c>
      <c r="C124" s="39" t="str">
        <f>IF(LEN(A124)&gt;0,'Open Positions'!Q122,"")</f>
      </c>
      <c r="D124" s="29" t="str">
        <f>IF(LEN(A124)&gt;0,B124*C124,"")</f>
      </c>
    </row>
    <row r="125" ht="15" customHeight="1" s="4" customFormat="1">
      <c r="A125" s="4" t="str">
        <f>IF(LEN('Open Positions'!B123)&gt;0,'Open Positions'!B123,"")</f>
      </c>
      <c r="B125" s="4" t="str">
        <f>IF(LEN('CALC'!A125)&gt;0,'Open Positions'!F123,"")</f>
      </c>
      <c r="C125" s="39" t="str">
        <f>IF(LEN(A125)&gt;0,'Open Positions'!Q123,"")</f>
      </c>
      <c r="D125" s="29" t="str">
        <f>IF(LEN(A125)&gt;0,B125*C125,"")</f>
      </c>
    </row>
    <row r="126" ht="15" customHeight="1" s="4" customFormat="1">
      <c r="A126" s="4" t="str">
        <f>IF(LEN('Open Positions'!B124)&gt;0,'Open Positions'!B124,"")</f>
      </c>
      <c r="B126" s="4" t="str">
        <f>IF(LEN('CALC'!A126)&gt;0,'Open Positions'!F124,"")</f>
      </c>
      <c r="C126" s="39" t="str">
        <f>IF(LEN(A126)&gt;0,'Open Positions'!Q124,"")</f>
      </c>
      <c r="D126" s="29" t="str">
        <f>IF(LEN(A126)&gt;0,B126*C126,"")</f>
      </c>
    </row>
    <row r="127" ht="15" customHeight="1" s="4" customFormat="1">
      <c r="A127" s="4" t="str">
        <f>IF(LEN('Open Positions'!B125)&gt;0,'Open Positions'!B125,"")</f>
      </c>
      <c r="B127" s="4" t="str">
        <f>IF(LEN('CALC'!A127)&gt;0,'Open Positions'!F125,"")</f>
      </c>
      <c r="C127" s="39" t="str">
        <f>IF(LEN(A127)&gt;0,'Open Positions'!Q125,"")</f>
      </c>
      <c r="D127" s="29" t="str">
        <f>IF(LEN(A127)&gt;0,B127*C127,"")</f>
      </c>
    </row>
    <row r="128" ht="15" customHeight="1" s="4" customFormat="1">
      <c r="A128" s="4" t="str">
        <f>IF(LEN('Open Positions'!B126)&gt;0,'Open Positions'!B126,"")</f>
      </c>
      <c r="B128" s="4" t="str">
        <f>IF(LEN('CALC'!A128)&gt;0,'Open Positions'!F126,"")</f>
      </c>
      <c r="C128" s="39" t="str">
        <f>IF(LEN(A128)&gt;0,'Open Positions'!Q126,"")</f>
      </c>
      <c r="D128" s="29" t="str">
        <f>IF(LEN(A128)&gt;0,B128*C128,"")</f>
      </c>
    </row>
    <row r="129" ht="15" customHeight="1" s="4" customFormat="1">
      <c r="A129" s="4" t="str">
        <f>IF(LEN('Open Positions'!B127)&gt;0,'Open Positions'!B127,"")</f>
      </c>
      <c r="B129" s="4" t="str">
        <f>IF(LEN('CALC'!A129)&gt;0,'Open Positions'!F127,"")</f>
      </c>
      <c r="C129" s="39" t="str">
        <f>IF(LEN(A129)&gt;0,'Open Positions'!Q127,"")</f>
      </c>
      <c r="D129" s="29" t="str">
        <f>IF(LEN(A129)&gt;0,B129*C129,"")</f>
      </c>
    </row>
    <row r="130" ht="15" customHeight="1" s="4" customFormat="1">
      <c r="A130" s="4" t="str">
        <f>IF(LEN('Open Positions'!B128)&gt;0,'Open Positions'!B128,"")</f>
      </c>
      <c r="B130" s="4" t="str">
        <f>IF(LEN('CALC'!A130)&gt;0,'Open Positions'!F128,"")</f>
      </c>
      <c r="C130" s="39" t="str">
        <f>IF(LEN(A130)&gt;0,'Open Positions'!Q128,"")</f>
      </c>
      <c r="D130" s="29" t="str">
        <f>IF(LEN(A130)&gt;0,B130*C130,"")</f>
      </c>
    </row>
    <row r="131" ht="15" customHeight="1" s="4" customFormat="1">
      <c r="A131" s="4" t="str">
        <f>IF(LEN('Open Positions'!B129)&gt;0,'Open Positions'!B129,"")</f>
      </c>
      <c r="B131" s="4" t="str">
        <f>IF(LEN('CALC'!A131)&gt;0,'Open Positions'!F129,"")</f>
      </c>
      <c r="C131" s="39" t="str">
        <f>IF(LEN(A131)&gt;0,'Open Positions'!Q129,"")</f>
      </c>
      <c r="D131" s="29" t="str">
        <f>IF(LEN(A131)&gt;0,B131*C131,"")</f>
      </c>
    </row>
    <row r="132" ht="15" customHeight="1" s="4" customFormat="1">
      <c r="A132" s="4" t="str">
        <f>IF(LEN('Open Positions'!B130)&gt;0,'Open Positions'!B130,"")</f>
      </c>
      <c r="B132" s="4" t="str">
        <f>IF(LEN('CALC'!A132)&gt;0,'Open Positions'!F130,"")</f>
      </c>
      <c r="C132" s="39" t="str">
        <f>IF(LEN(A132)&gt;0,'Open Positions'!Q130,"")</f>
      </c>
      <c r="D132" s="29" t="str">
        <f>IF(LEN(A132)&gt;0,B132*C132,"")</f>
      </c>
    </row>
    <row r="133" ht="15" customHeight="1" s="4" customFormat="1">
      <c r="A133" s="4" t="str">
        <f>IF(LEN('Open Positions'!B131)&gt;0,'Open Positions'!B131,"")</f>
      </c>
      <c r="B133" s="4" t="str">
        <f>IF(LEN('CALC'!A133)&gt;0,'Open Positions'!F131,"")</f>
      </c>
      <c r="C133" s="39" t="str">
        <f>IF(LEN(A133)&gt;0,'Open Positions'!Q131,"")</f>
      </c>
      <c r="D133" s="29" t="str">
        <f>IF(LEN(A133)&gt;0,B133*C133,"")</f>
      </c>
    </row>
    <row r="134" ht="15" customHeight="1" s="4" customFormat="1">
      <c r="A134" s="4" t="str">
        <f>IF(LEN('Open Positions'!B132)&gt;0,'Open Positions'!B132,"")</f>
      </c>
      <c r="B134" s="4" t="str">
        <f>IF(LEN('CALC'!A134)&gt;0,'Open Positions'!F132,"")</f>
      </c>
      <c r="C134" s="39" t="str">
        <f>IF(LEN(A134)&gt;0,'Open Positions'!Q132,"")</f>
      </c>
      <c r="D134" s="29" t="str">
        <f>IF(LEN(A134)&gt;0,B134*C134,"")</f>
      </c>
    </row>
    <row r="135" ht="15" customHeight="1" s="4" customFormat="1">
      <c r="A135" s="4" t="str">
        <f>IF(LEN('Open Positions'!B133)&gt;0,'Open Positions'!B133,"")</f>
      </c>
      <c r="B135" s="4" t="str">
        <f>IF(LEN('CALC'!A135)&gt;0,'Open Positions'!F133,"")</f>
      </c>
      <c r="C135" s="39" t="str">
        <f>IF(LEN(A135)&gt;0,'Open Positions'!Q133,"")</f>
      </c>
      <c r="D135" s="29" t="str">
        <f>IF(LEN(A135)&gt;0,B135*C135,"")</f>
      </c>
    </row>
    <row r="136" ht="15" customHeight="1" s="4" customFormat="1">
      <c r="A136" s="4" t="str">
        <f>IF(LEN('Open Positions'!B134)&gt;0,'Open Positions'!B134,"")</f>
      </c>
      <c r="B136" s="4" t="str">
        <f>IF(LEN('CALC'!A136)&gt;0,'Open Positions'!F134,"")</f>
      </c>
      <c r="C136" s="39" t="str">
        <f>IF(LEN(A136)&gt;0,'Open Positions'!Q134,"")</f>
      </c>
      <c r="D136" s="29" t="str">
        <f>IF(LEN(A136)&gt;0,B136*C136,"")</f>
      </c>
    </row>
    <row r="137" ht="15" customHeight="1" s="4" customFormat="1">
      <c r="A137" s="4" t="str">
        <f>IF(LEN('Open Positions'!B135)&gt;0,'Open Positions'!B135,"")</f>
      </c>
      <c r="B137" s="4" t="str">
        <f>IF(LEN('CALC'!A137)&gt;0,'Open Positions'!F135,"")</f>
      </c>
      <c r="C137" s="39" t="str">
        <f>IF(LEN(A137)&gt;0,'Open Positions'!Q135,"")</f>
      </c>
      <c r="D137" s="29" t="str">
        <f>IF(LEN(A137)&gt;0,B137*C137,"")</f>
      </c>
    </row>
    <row r="138" ht="15" customHeight="1" s="4" customFormat="1">
      <c r="A138" s="4" t="str">
        <f>IF(LEN('Open Positions'!B136)&gt;0,'Open Positions'!B136,"")</f>
      </c>
      <c r="B138" s="4" t="str">
        <f>IF(LEN('CALC'!A138)&gt;0,'Open Positions'!F136,"")</f>
      </c>
      <c r="C138" s="39" t="str">
        <f>IF(LEN(A138)&gt;0,'Open Positions'!Q136,"")</f>
      </c>
      <c r="D138" s="29" t="str">
        <f>IF(LEN(A138)&gt;0,B138*C138,"")</f>
      </c>
    </row>
    <row r="139" ht="15" customHeight="1" s="4" customFormat="1">
      <c r="A139" s="4" t="str">
        <f>IF(LEN('Open Positions'!B137)&gt;0,'Open Positions'!B137,"")</f>
      </c>
      <c r="B139" s="4" t="str">
        <f>IF(LEN('CALC'!A139)&gt;0,'Open Positions'!F137,"")</f>
      </c>
      <c r="C139" s="39" t="str">
        <f>IF(LEN(A139)&gt;0,'Open Positions'!Q137,"")</f>
      </c>
      <c r="D139" s="29" t="str">
        <f>IF(LEN(A139)&gt;0,B139*C139,"")</f>
      </c>
    </row>
    <row r="140" ht="15" customHeight="1" s="4" customFormat="1">
      <c r="A140" s="4" t="str">
        <f>IF(LEN('Open Positions'!B138)&gt;0,'Open Positions'!B138,"")</f>
      </c>
      <c r="B140" s="4" t="str">
        <f>IF(LEN('CALC'!A140)&gt;0,'Open Positions'!F138,"")</f>
      </c>
      <c r="C140" s="39" t="str">
        <f>IF(LEN(A140)&gt;0,'Open Positions'!Q138,"")</f>
      </c>
      <c r="D140" s="29" t="str">
        <f>IF(LEN(A140)&gt;0,B140*C140,"")</f>
      </c>
    </row>
    <row r="141" ht="15" customHeight="1" s="4" customFormat="1">
      <c r="A141" s="4" t="str">
        <f>IF(LEN('Open Positions'!B139)&gt;0,'Open Positions'!B139,"")</f>
      </c>
      <c r="B141" s="4" t="str">
        <f>IF(LEN('CALC'!A141)&gt;0,'Open Positions'!F139,"")</f>
      </c>
      <c r="C141" s="39" t="str">
        <f>IF(LEN(A141)&gt;0,'Open Positions'!Q139,"")</f>
      </c>
      <c r="D141" s="29" t="str">
        <f>IF(LEN(A141)&gt;0,B141*C141,"")</f>
      </c>
    </row>
    <row r="142" ht="15" customHeight="1" s="4" customFormat="1">
      <c r="A142" s="4" t="str">
        <f>IF(LEN('Open Positions'!B140)&gt;0,'Open Positions'!B140,"")</f>
      </c>
      <c r="B142" s="4" t="str">
        <f>IF(LEN('CALC'!A142)&gt;0,'Open Positions'!F140,"")</f>
      </c>
      <c r="C142" s="39" t="str">
        <f>IF(LEN(A142)&gt;0,'Open Positions'!Q140,"")</f>
      </c>
      <c r="D142" s="29" t="str">
        <f>IF(LEN(A142)&gt;0,B142*C142,"")</f>
      </c>
    </row>
    <row r="143" ht="15" customHeight="1" s="4" customFormat="1">
      <c r="A143" s="4" t="str">
        <f>IF(LEN('Open Positions'!B141)&gt;0,'Open Positions'!B141,"")</f>
      </c>
      <c r="B143" s="4" t="str">
        <f>IF(LEN('CALC'!A143)&gt;0,'Open Positions'!F141,"")</f>
      </c>
      <c r="C143" s="39" t="str">
        <f>IF(LEN(A143)&gt;0,'Open Positions'!Q141,"")</f>
      </c>
      <c r="D143" s="29" t="str">
        <f>IF(LEN(A143)&gt;0,B143*C143,"")</f>
      </c>
    </row>
    <row r="144" ht="15" customHeight="1" s="4" customFormat="1">
      <c r="A144" s="4" t="str">
        <f>IF(LEN('Open Positions'!B142)&gt;0,'Open Positions'!B142,"")</f>
      </c>
      <c r="B144" s="4" t="str">
        <f>IF(LEN('CALC'!A144)&gt;0,'Open Positions'!F142,"")</f>
      </c>
      <c r="C144" s="39" t="str">
        <f>IF(LEN(A144)&gt;0,'Open Positions'!Q142,"")</f>
      </c>
      <c r="D144" s="29" t="str">
        <f>IF(LEN(A144)&gt;0,B144*C144,"")</f>
      </c>
    </row>
    <row r="145" ht="15" customHeight="1" s="4" customFormat="1">
      <c r="A145" s="4" t="str">
        <f>IF(LEN('Open Positions'!B143)&gt;0,'Open Positions'!B143,"")</f>
      </c>
      <c r="B145" s="4" t="str">
        <f>IF(LEN('CALC'!A145)&gt;0,'Open Positions'!F143,"")</f>
      </c>
      <c r="C145" s="39" t="str">
        <f>IF(LEN(A145)&gt;0,'Open Positions'!Q143,"")</f>
      </c>
      <c r="D145" s="29" t="str">
        <f>IF(LEN(A145)&gt;0,B145*C145,"")</f>
      </c>
    </row>
    <row r="146" ht="15" customHeight="1" s="4" customFormat="1">
      <c r="A146" s="4" t="str">
        <f>IF(LEN('Open Positions'!B144)&gt;0,'Open Positions'!B144,"")</f>
      </c>
      <c r="B146" s="4" t="str">
        <f>IF(LEN('CALC'!A146)&gt;0,'Open Positions'!F144,"")</f>
      </c>
      <c r="C146" s="39" t="str">
        <f>IF(LEN(A146)&gt;0,'Open Positions'!Q144,"")</f>
      </c>
      <c r="D146" s="29" t="str">
        <f>IF(LEN(A146)&gt;0,B146*C146,"")</f>
      </c>
    </row>
    <row r="147" ht="15" customHeight="1" s="4" customFormat="1">
      <c r="A147" s="4" t="str">
        <f>IF(LEN('Open Positions'!B145)&gt;0,'Open Positions'!B145,"")</f>
      </c>
      <c r="B147" s="4" t="str">
        <f>IF(LEN('CALC'!A147)&gt;0,'Open Positions'!F145,"")</f>
      </c>
      <c r="C147" s="39" t="str">
        <f>IF(LEN(A147)&gt;0,'Open Positions'!Q145,"")</f>
      </c>
      <c r="D147" s="29" t="str">
        <f>IF(LEN(A147)&gt;0,B147*C147,"")</f>
      </c>
    </row>
    <row r="148" ht="15" customHeight="1" s="4" customFormat="1">
      <c r="A148" s="4" t="str">
        <f>IF(LEN('Open Positions'!B146)&gt;0,'Open Positions'!B146,"")</f>
      </c>
      <c r="B148" s="4" t="str">
        <f>IF(LEN('CALC'!A148)&gt;0,'Open Positions'!F146,"")</f>
      </c>
      <c r="C148" s="39" t="str">
        <f>IF(LEN(A148)&gt;0,'Open Positions'!Q146,"")</f>
      </c>
      <c r="D148" s="29" t="str">
        <f>IF(LEN(A148)&gt;0,B148*C148,"")</f>
      </c>
    </row>
    <row r="149" ht="15" customHeight="1" s="4" customFormat="1">
      <c r="A149" s="4" t="str">
        <f>IF(LEN('Open Positions'!B147)&gt;0,'Open Positions'!B147,"")</f>
      </c>
      <c r="B149" s="4" t="str">
        <f>IF(LEN('CALC'!A149)&gt;0,'Open Positions'!F147,"")</f>
      </c>
      <c r="C149" s="39" t="str">
        <f>IF(LEN(A149)&gt;0,'Open Positions'!Q147,"")</f>
      </c>
      <c r="D149" s="29" t="str">
        <f>IF(LEN(A149)&gt;0,B149*C149,"")</f>
      </c>
    </row>
    <row r="150" ht="15" customHeight="1" s="4" customFormat="1">
      <c r="A150" s="4" t="str">
        <f>IF(LEN('Open Positions'!B148)&gt;0,'Open Positions'!B148,"")</f>
      </c>
      <c r="B150" s="4" t="str">
        <f>IF(LEN('CALC'!A150)&gt;0,'Open Positions'!F148,"")</f>
      </c>
      <c r="C150" s="39" t="str">
        <f>IF(LEN(A150)&gt;0,'Open Positions'!Q148,"")</f>
      </c>
      <c r="D150" s="29" t="str">
        <f>IF(LEN(A150)&gt;0,B150*C150,"")</f>
      </c>
    </row>
    <row r="151" ht="15" customHeight="1" s="4" customFormat="1">
      <c r="A151" s="4" t="str">
        <f>IF(LEN('Open Positions'!B149)&gt;0,'Open Positions'!B149,"")</f>
      </c>
      <c r="B151" s="4" t="str">
        <f>IF(LEN('CALC'!A151)&gt;0,'Open Positions'!F149,"")</f>
      </c>
      <c r="C151" s="39" t="str">
        <f>IF(LEN(A151)&gt;0,'Open Positions'!Q149,"")</f>
      </c>
      <c r="D151" s="29" t="str">
        <f>IF(LEN(A151)&gt;0,B151*C151,"")</f>
      </c>
    </row>
    <row r="152" ht="15" customHeight="1" s="4" customFormat="1">
      <c r="A152" s="4" t="str">
        <f>IF(LEN('Open Positions'!B150)&gt;0,'Open Positions'!B150,"")</f>
      </c>
      <c r="B152" s="4" t="str">
        <f>IF(LEN('CALC'!A152)&gt;0,'Open Positions'!F150,"")</f>
      </c>
      <c r="C152" s="39" t="str">
        <f>IF(LEN(A152)&gt;0,'Open Positions'!Q150,"")</f>
      </c>
      <c r="D152" s="29" t="str">
        <f>IF(LEN(A152)&gt;0,B152*C152,"")</f>
      </c>
    </row>
    <row r="153" ht="15" customHeight="1" s="4" customFormat="1">
      <c r="A153" s="4" t="str">
        <f>IF(LEN('Open Positions'!B151)&gt;0,'Open Positions'!B151,"")</f>
      </c>
      <c r="B153" s="4" t="str">
        <f>IF(LEN('CALC'!A153)&gt;0,'Open Positions'!F151,"")</f>
      </c>
      <c r="C153" s="39" t="str">
        <f>IF(LEN(A153)&gt;0,'Open Positions'!Q151,"")</f>
      </c>
      <c r="D153" s="29" t="str">
        <f>IF(LEN(A153)&gt;0,B153*C153,"")</f>
      </c>
    </row>
    <row r="154" ht="15" customHeight="1" s="4" customFormat="1">
      <c r="A154" s="4" t="str">
        <f>IF(LEN('Open Positions'!B152)&gt;0,'Open Positions'!B152,"")</f>
      </c>
      <c r="B154" s="4" t="str">
        <f>IF(LEN('CALC'!A154)&gt;0,'Open Positions'!F152,"")</f>
      </c>
      <c r="C154" s="39" t="str">
        <f>IF(LEN(A154)&gt;0,'Open Positions'!Q152,"")</f>
      </c>
      <c r="D154" s="29" t="str">
        <f>IF(LEN(A154)&gt;0,B154*C154,"")</f>
      </c>
    </row>
    <row r="155" ht="15" customHeight="1" s="4" customFormat="1">
      <c r="A155" s="4" t="str">
        <f>IF(LEN('Open Positions'!B153)&gt;0,'Open Positions'!B153,"")</f>
      </c>
      <c r="B155" s="4" t="str">
        <f>IF(LEN('CALC'!A155)&gt;0,'Open Positions'!F153,"")</f>
      </c>
      <c r="C155" s="39" t="str">
        <f>IF(LEN(A155)&gt;0,'Open Positions'!Q153,"")</f>
      </c>
      <c r="D155" s="29" t="str">
        <f>IF(LEN(A155)&gt;0,B155*C155,"")</f>
      </c>
    </row>
    <row r="156" ht="15" customHeight="1" s="4" customFormat="1">
      <c r="A156" s="4" t="str">
        <f>IF(LEN('Open Positions'!B154)&gt;0,'Open Positions'!B154,"")</f>
      </c>
      <c r="B156" s="4" t="str">
        <f>IF(LEN('CALC'!A156)&gt;0,'Open Positions'!F154,"")</f>
      </c>
      <c r="C156" s="39" t="str">
        <f>IF(LEN(A156)&gt;0,'Open Positions'!Q154,"")</f>
      </c>
      <c r="D156" s="29" t="str">
        <f>IF(LEN(A156)&gt;0,B156*C156,"")</f>
      </c>
    </row>
    <row r="157" ht="15" customHeight="1" s="4" customFormat="1">
      <c r="A157" s="4" t="str">
        <f>IF(LEN('Open Positions'!B155)&gt;0,'Open Positions'!B155,"")</f>
      </c>
      <c r="B157" s="4" t="str">
        <f>IF(LEN('CALC'!A157)&gt;0,'Open Positions'!F155,"")</f>
      </c>
      <c r="C157" s="39" t="str">
        <f>IF(LEN(A157)&gt;0,'Open Positions'!Q155,"")</f>
      </c>
      <c r="D157" s="29" t="str">
        <f>IF(LEN(A157)&gt;0,B157*C157,"")</f>
      </c>
    </row>
    <row r="158" ht="15" customHeight="1" s="4" customFormat="1">
      <c r="A158" s="4" t="str">
        <f>IF(LEN('Open Positions'!B156)&gt;0,'Open Positions'!B156,"")</f>
      </c>
      <c r="B158" s="4" t="str">
        <f>IF(LEN('CALC'!A158)&gt;0,'Open Positions'!F156,"")</f>
      </c>
      <c r="C158" s="39" t="str">
        <f>IF(LEN(A158)&gt;0,'Open Positions'!Q156,"")</f>
      </c>
      <c r="D158" s="29" t="str">
        <f>IF(LEN(A158)&gt;0,B158*C158,"")</f>
      </c>
    </row>
    <row r="159" ht="15" customHeight="1" s="4" customFormat="1">
      <c r="A159" s="4" t="str">
        <f>IF(LEN('Open Positions'!B157)&gt;0,'Open Positions'!B157,"")</f>
      </c>
      <c r="B159" s="4" t="str">
        <f>IF(LEN('CALC'!A159)&gt;0,'Open Positions'!F157,"")</f>
      </c>
      <c r="C159" s="39" t="str">
        <f>IF(LEN(A159)&gt;0,'Open Positions'!Q157,"")</f>
      </c>
      <c r="D159" s="29" t="str">
        <f>IF(LEN(A159)&gt;0,B159*C159,"")</f>
      </c>
    </row>
    <row r="160" ht="15" customHeight="1" s="4" customFormat="1">
      <c r="A160" s="4" t="str">
        <f>IF(LEN('Open Positions'!B158)&gt;0,'Open Positions'!B158,"")</f>
      </c>
      <c r="B160" s="4" t="str">
        <f>IF(LEN('CALC'!A160)&gt;0,'Open Positions'!F158,"")</f>
      </c>
      <c r="C160" s="39" t="str">
        <f>IF(LEN(A160)&gt;0,'Open Positions'!Q158,"")</f>
      </c>
      <c r="D160" s="29" t="str">
        <f>IF(LEN(A160)&gt;0,B160*C160,"")</f>
      </c>
    </row>
    <row r="161" ht="15" customHeight="1" s="4" customFormat="1">
      <c r="A161" s="4" t="str">
        <f>IF(LEN('Open Positions'!B159)&gt;0,'Open Positions'!B159,"")</f>
      </c>
      <c r="B161" s="4" t="str">
        <f>IF(LEN('CALC'!A161)&gt;0,'Open Positions'!F159,"")</f>
      </c>
      <c r="C161" s="39" t="str">
        <f>IF(LEN(A161)&gt;0,'Open Positions'!Q159,"")</f>
      </c>
      <c r="D161" s="29" t="str">
        <f>IF(LEN(A161)&gt;0,B161*C161,"")</f>
      </c>
    </row>
    <row r="162" ht="15" customHeight="1" s="4" customFormat="1">
      <c r="A162" s="4" t="str">
        <f>IF(LEN('Open Positions'!B160)&gt;0,'Open Positions'!B160,"")</f>
      </c>
      <c r="B162" s="4" t="str">
        <f>IF(LEN('CALC'!A162)&gt;0,'Open Positions'!F160,"")</f>
      </c>
      <c r="C162" s="39" t="str">
        <f>IF(LEN(A162)&gt;0,'Open Positions'!Q160,"")</f>
      </c>
      <c r="D162" s="29" t="str">
        <f>IF(LEN(A162)&gt;0,B162*C162,"")</f>
      </c>
    </row>
    <row r="163" ht="15" customHeight="1" s="4" customFormat="1">
      <c r="A163" s="4" t="str">
        <f>IF(LEN('Open Positions'!B161)&gt;0,'Open Positions'!B161,"")</f>
      </c>
      <c r="B163" s="4" t="str">
        <f>IF(LEN('CALC'!A163)&gt;0,'Open Positions'!F161,"")</f>
      </c>
      <c r="C163" s="39" t="str">
        <f>IF(LEN(A163)&gt;0,'Open Positions'!Q161,"")</f>
      </c>
      <c r="D163" s="29" t="str">
        <f>IF(LEN(A163)&gt;0,B163*C163,"")</f>
      </c>
    </row>
    <row r="164" ht="15" customHeight="1" s="4" customFormat="1">
      <c r="A164" s="4" t="str">
        <f>IF(LEN('Open Positions'!B162)&gt;0,'Open Positions'!B162,"")</f>
      </c>
      <c r="B164" s="4" t="str">
        <f>IF(LEN('CALC'!A164)&gt;0,'Open Positions'!F162,"")</f>
      </c>
      <c r="C164" s="39" t="str">
        <f>IF(LEN(A164)&gt;0,'Open Positions'!Q162,"")</f>
      </c>
      <c r="D164" s="29" t="str">
        <f>IF(LEN(A164)&gt;0,B164*C164,"")</f>
      </c>
    </row>
    <row r="165" ht="15" customHeight="1" s="4" customFormat="1">
      <c r="A165" s="4" t="str">
        <f>IF(LEN('Open Positions'!B163)&gt;0,'Open Positions'!B163,"")</f>
      </c>
      <c r="B165" s="4" t="str">
        <f>IF(LEN('CALC'!A165)&gt;0,'Open Positions'!F163,"")</f>
      </c>
      <c r="C165" s="39" t="str">
        <f>IF(LEN(A165)&gt;0,'Open Positions'!Q163,"")</f>
      </c>
      <c r="D165" s="29" t="str">
        <f>IF(LEN(A165)&gt;0,B165*C165,"")</f>
      </c>
    </row>
    <row r="166" ht="15" customHeight="1" s="4" customFormat="1">
      <c r="A166" s="4" t="str">
        <f>IF(LEN('Open Positions'!B164)&gt;0,'Open Positions'!B164,"")</f>
      </c>
      <c r="B166" s="4" t="str">
        <f>IF(LEN('CALC'!A166)&gt;0,'Open Positions'!F164,"")</f>
      </c>
      <c r="C166" s="39" t="str">
        <f>IF(LEN(A166)&gt;0,'Open Positions'!Q164,"")</f>
      </c>
      <c r="D166" s="29" t="str">
        <f>IF(LEN(A166)&gt;0,B166*C166,"")</f>
      </c>
    </row>
    <row r="167" ht="15" customHeight="1" s="4" customFormat="1">
      <c r="A167" s="4" t="str">
        <f>IF(LEN('Open Positions'!B165)&gt;0,'Open Positions'!B165,"")</f>
      </c>
      <c r="B167" s="4" t="str">
        <f>IF(LEN('CALC'!A167)&gt;0,'Open Positions'!F165,"")</f>
      </c>
      <c r="C167" s="39" t="str">
        <f>IF(LEN(A167)&gt;0,'Open Positions'!Q165,"")</f>
      </c>
      <c r="D167" s="29" t="str">
        <f>IF(LEN(A167)&gt;0,B167*C167,"")</f>
      </c>
    </row>
    <row r="168" ht="15" customHeight="1" s="4" customFormat="1">
      <c r="A168" s="4" t="str">
        <f>IF(LEN('Open Positions'!B166)&gt;0,'Open Positions'!B166,"")</f>
      </c>
      <c r="B168" s="4" t="str">
        <f>IF(LEN('CALC'!A168)&gt;0,'Open Positions'!F166,"")</f>
      </c>
      <c r="C168" s="39" t="str">
        <f>IF(LEN(A168)&gt;0,'Open Positions'!Q166,"")</f>
      </c>
      <c r="D168" s="29" t="str">
        <f>IF(LEN(A168)&gt;0,B168*C168,"")</f>
      </c>
    </row>
    <row r="169" ht="15" customHeight="1" s="4" customFormat="1">
      <c r="A169" s="4" t="str">
        <f>IF(LEN('Open Positions'!B167)&gt;0,'Open Positions'!B167,"")</f>
      </c>
      <c r="B169" s="4" t="str">
        <f>IF(LEN('CALC'!A169)&gt;0,'Open Positions'!F167,"")</f>
      </c>
      <c r="C169" s="39" t="str">
        <f>IF(LEN(A169)&gt;0,'Open Positions'!Q167,"")</f>
      </c>
      <c r="D169" s="29" t="str">
        <f>IF(LEN(A169)&gt;0,B169*C169,"")</f>
      </c>
    </row>
    <row r="170" ht="15" customHeight="1" s="4" customFormat="1">
      <c r="A170" s="4" t="str">
        <f>IF(LEN('Open Positions'!B168)&gt;0,'Open Positions'!B168,"")</f>
      </c>
      <c r="B170" s="4" t="str">
        <f>IF(LEN('CALC'!A170)&gt;0,'Open Positions'!F168,"")</f>
      </c>
      <c r="C170" s="39" t="str">
        <f>IF(LEN(A170)&gt;0,'Open Positions'!Q168,"")</f>
      </c>
      <c r="D170" s="29" t="str">
        <f>IF(LEN(A170)&gt;0,B170*C170,"")</f>
      </c>
    </row>
    <row r="171" ht="15" customHeight="1" s="4" customFormat="1">
      <c r="A171" s="4" t="str">
        <f>IF(LEN('Open Positions'!B169)&gt;0,'Open Positions'!B169,"")</f>
      </c>
      <c r="B171" s="4" t="str">
        <f>IF(LEN('CALC'!A171)&gt;0,'Open Positions'!F169,"")</f>
      </c>
      <c r="C171" s="39" t="str">
        <f>IF(LEN(A171)&gt;0,'Open Positions'!Q169,"")</f>
      </c>
      <c r="D171" s="29" t="str">
        <f>IF(LEN(A171)&gt;0,B171*C171,"")</f>
      </c>
    </row>
    <row r="172" ht="15" customHeight="1" s="4" customFormat="1">
      <c r="A172" s="4" t="str">
        <f>IF(LEN('Open Positions'!B170)&gt;0,'Open Positions'!B170,"")</f>
      </c>
      <c r="B172" s="4" t="str">
        <f>IF(LEN('CALC'!A172)&gt;0,'Open Positions'!F170,"")</f>
      </c>
      <c r="C172" s="39" t="str">
        <f>IF(LEN(A172)&gt;0,'Open Positions'!Q170,"")</f>
      </c>
      <c r="D172" s="29" t="str">
        <f>IF(LEN(A172)&gt;0,B172*C172,"")</f>
      </c>
    </row>
    <row r="173" ht="15" customHeight="1" s="4" customFormat="1">
      <c r="A173" s="4" t="str">
        <f>IF(LEN('Open Positions'!B171)&gt;0,'Open Positions'!B171,"")</f>
      </c>
      <c r="B173" s="4" t="str">
        <f>IF(LEN('CALC'!A173)&gt;0,'Open Positions'!F171,"")</f>
      </c>
      <c r="C173" s="39" t="str">
        <f>IF(LEN(A173)&gt;0,'Open Positions'!Q171,"")</f>
      </c>
      <c r="D173" s="29" t="str">
        <f>IF(LEN(A173)&gt;0,B173*C173,"")</f>
      </c>
    </row>
    <row r="174" ht="15" customHeight="1" s="4" customFormat="1">
      <c r="A174" s="4" t="str">
        <f>IF(LEN('Open Positions'!B172)&gt;0,'Open Positions'!B172,"")</f>
      </c>
      <c r="B174" s="4" t="str">
        <f>IF(LEN('CALC'!A174)&gt;0,'Open Positions'!F172,"")</f>
      </c>
      <c r="C174" s="39" t="str">
        <f>IF(LEN(A174)&gt;0,'Open Positions'!Q172,"")</f>
      </c>
      <c r="D174" s="29" t="str">
        <f>IF(LEN(A174)&gt;0,B174*C174,"")</f>
      </c>
    </row>
    <row r="175" ht="15" customHeight="1" s="4" customFormat="1">
      <c r="A175" s="4" t="str">
        <f>IF(LEN('Open Positions'!B173)&gt;0,'Open Positions'!B173,"")</f>
      </c>
      <c r="B175" s="4" t="str">
        <f>IF(LEN('CALC'!A175)&gt;0,'Open Positions'!F173,"")</f>
      </c>
      <c r="C175" s="39" t="str">
        <f>IF(LEN(A175)&gt;0,'Open Positions'!Q173,"")</f>
      </c>
      <c r="D175" s="29" t="str">
        <f>IF(LEN(A175)&gt;0,B175*C175,"")</f>
      </c>
    </row>
    <row r="176" ht="15" customHeight="1" s="4" customFormat="1">
      <c r="A176" s="4" t="str">
        <f>IF(LEN('Open Positions'!B174)&gt;0,'Open Positions'!B174,"")</f>
      </c>
      <c r="B176" s="4" t="str">
        <f>IF(LEN('CALC'!A176)&gt;0,'Open Positions'!F174,"")</f>
      </c>
      <c r="C176" s="39" t="str">
        <f>IF(LEN(A176)&gt;0,'Open Positions'!Q174,"")</f>
      </c>
      <c r="D176" s="29" t="str">
        <f>IF(LEN(A176)&gt;0,B176*C176,"")</f>
      </c>
    </row>
    <row r="177" ht="15" customHeight="1" s="4" customFormat="1">
      <c r="A177" s="4" t="str">
        <f>IF(LEN('Open Positions'!B175)&gt;0,'Open Positions'!B175,"")</f>
      </c>
      <c r="B177" s="4" t="str">
        <f>IF(LEN('CALC'!A177)&gt;0,'Open Positions'!F175,"")</f>
      </c>
      <c r="C177" s="39" t="str">
        <f>IF(LEN(A177)&gt;0,'Open Positions'!Q175,"")</f>
      </c>
      <c r="D177" s="29" t="str">
        <f>IF(LEN(A177)&gt;0,B177*C177,"")</f>
      </c>
    </row>
    <row r="178" ht="15" customHeight="1" s="4" customFormat="1">
      <c r="A178" s="4" t="str">
        <f>IF(LEN('Open Positions'!B176)&gt;0,'Open Positions'!B176,"")</f>
      </c>
      <c r="B178" s="4" t="str">
        <f>IF(LEN('CALC'!A178)&gt;0,'Open Positions'!F176,"")</f>
      </c>
      <c r="C178" s="39" t="str">
        <f>IF(LEN(A178)&gt;0,'Open Positions'!Q176,"")</f>
      </c>
      <c r="D178" s="29" t="str">
        <f>IF(LEN(A178)&gt;0,B178*C178,"")</f>
      </c>
    </row>
    <row r="179" ht="15" customHeight="1" s="4" customFormat="1">
      <c r="A179" s="4" t="str">
        <f>IF(LEN('Open Positions'!B177)&gt;0,'Open Positions'!B177,"")</f>
      </c>
      <c r="B179" s="4" t="str">
        <f>IF(LEN('CALC'!A179)&gt;0,'Open Positions'!F177,"")</f>
      </c>
      <c r="C179" s="39" t="str">
        <f>IF(LEN(A179)&gt;0,'Open Positions'!Q177,"")</f>
      </c>
      <c r="D179" s="29" t="str">
        <f>IF(LEN(A179)&gt;0,B179*C179,"")</f>
      </c>
    </row>
    <row r="180" ht="15" customHeight="1" s="4" customFormat="1">
      <c r="A180" s="4" t="str">
        <f>IF(LEN('Open Positions'!B178)&gt;0,'Open Positions'!B178,"")</f>
      </c>
      <c r="B180" s="4" t="str">
        <f>IF(LEN('CALC'!A180)&gt;0,'Open Positions'!F178,"")</f>
      </c>
      <c r="C180" s="39" t="str">
        <f>IF(LEN(A180)&gt;0,'Open Positions'!Q178,"")</f>
      </c>
      <c r="D180" s="29" t="str">
        <f>IF(LEN(A180)&gt;0,B180*C180,"")</f>
      </c>
    </row>
    <row r="181" ht="15" customHeight="1" s="4" customFormat="1">
      <c r="A181" s="4" t="str">
        <f>IF(LEN('Open Positions'!B179)&gt;0,'Open Positions'!B179,"")</f>
      </c>
      <c r="B181" s="4" t="str">
        <f>IF(LEN('CALC'!A181)&gt;0,'Open Positions'!F179,"")</f>
      </c>
      <c r="C181" s="39" t="str">
        <f>IF(LEN(A181)&gt;0,'Open Positions'!Q179,"")</f>
      </c>
      <c r="D181" s="29" t="str">
        <f>IF(LEN(A181)&gt;0,B181*C181,"")</f>
      </c>
    </row>
    <row r="182" ht="15" customHeight="1" s="4" customFormat="1">
      <c r="A182" s="4" t="str">
        <f>IF(LEN('Open Positions'!B180)&gt;0,'Open Positions'!B180,"")</f>
      </c>
      <c r="B182" s="4" t="str">
        <f>IF(LEN('CALC'!A182)&gt;0,'Open Positions'!F180,"")</f>
      </c>
      <c r="C182" s="39" t="str">
        <f>IF(LEN(A182)&gt;0,'Open Positions'!Q180,"")</f>
      </c>
      <c r="D182" s="29" t="str">
        <f>IF(LEN(A182)&gt;0,B182*C182,"")</f>
      </c>
    </row>
    <row r="183" ht="15" customHeight="1" s="4" customFormat="1">
      <c r="A183" s="4" t="str">
        <f>IF(LEN('Open Positions'!B181)&gt;0,'Open Positions'!B181,"")</f>
      </c>
      <c r="B183" s="4" t="str">
        <f>IF(LEN('CALC'!A183)&gt;0,'Open Positions'!F181,"")</f>
      </c>
      <c r="C183" s="39" t="str">
        <f>IF(LEN(A183)&gt;0,'Open Positions'!Q181,"")</f>
      </c>
      <c r="D183" s="29" t="str">
        <f>IF(LEN(A183)&gt;0,B183*C183,"")</f>
      </c>
    </row>
    <row r="184" ht="15" customHeight="1" s="4" customFormat="1">
      <c r="A184" s="4" t="str">
        <f>IF(LEN('Open Positions'!B182)&gt;0,'Open Positions'!B182,"")</f>
      </c>
      <c r="B184" s="4" t="str">
        <f>IF(LEN('CALC'!A184)&gt;0,'Open Positions'!F182,"")</f>
      </c>
      <c r="C184" s="39" t="str">
        <f>IF(LEN(A184)&gt;0,'Open Positions'!Q182,"")</f>
      </c>
      <c r="D184" s="29" t="str">
        <f>IF(LEN(A184)&gt;0,B184*C184,"")</f>
      </c>
    </row>
    <row r="185" ht="15" customHeight="1" s="4" customFormat="1">
      <c r="A185" s="4" t="str">
        <f>IF(LEN('Open Positions'!B183)&gt;0,'Open Positions'!B183,"")</f>
      </c>
      <c r="B185" s="4" t="str">
        <f>IF(LEN('CALC'!A185)&gt;0,'Open Positions'!F183,"")</f>
      </c>
      <c r="C185" s="39" t="str">
        <f>IF(LEN(A185)&gt;0,'Open Positions'!Q183,"")</f>
      </c>
      <c r="D185" s="29" t="str">
        <f>IF(LEN(A185)&gt;0,B185*C185,"")</f>
      </c>
    </row>
    <row r="186" ht="15" customHeight="1" s="4" customFormat="1">
      <c r="A186" s="4" t="str">
        <f>IF(LEN('Open Positions'!B184)&gt;0,'Open Positions'!B184,"")</f>
      </c>
      <c r="B186" s="4" t="str">
        <f>IF(LEN('CALC'!A186)&gt;0,'Open Positions'!F184,"")</f>
      </c>
      <c r="C186" s="39" t="str">
        <f>IF(LEN(A186)&gt;0,'Open Positions'!Q184,"")</f>
      </c>
      <c r="D186" s="29" t="str">
        <f>IF(LEN(A186)&gt;0,B186*C186,"")</f>
      </c>
    </row>
    <row r="187" ht="15" customHeight="1" s="4" customFormat="1">
      <c r="A187" s="4" t="str">
        <f>IF(LEN('Open Positions'!B185)&gt;0,'Open Positions'!B185,"")</f>
      </c>
      <c r="B187" s="4" t="str">
        <f>IF(LEN('CALC'!A187)&gt;0,'Open Positions'!F185,"")</f>
      </c>
      <c r="C187" s="39" t="str">
        <f>IF(LEN(A187)&gt;0,'Open Positions'!Q185,"")</f>
      </c>
      <c r="D187" s="29" t="str">
        <f>IF(LEN(A187)&gt;0,B187*C187,"")</f>
      </c>
    </row>
    <row r="188" ht="15" customHeight="1" s="4" customFormat="1">
      <c r="A188" s="4" t="str">
        <f>IF(LEN('Open Positions'!B186)&gt;0,'Open Positions'!B186,"")</f>
      </c>
      <c r="B188" s="4" t="str">
        <f>IF(LEN('CALC'!A188)&gt;0,'Open Positions'!F186,"")</f>
      </c>
      <c r="C188" s="39" t="str">
        <f>IF(LEN(A188)&gt;0,'Open Positions'!Q186,"")</f>
      </c>
      <c r="D188" s="29" t="str">
        <f>IF(LEN(A188)&gt;0,B188*C188,"")</f>
      </c>
    </row>
    <row r="189" ht="15" customHeight="1" s="4" customFormat="1">
      <c r="A189" s="4" t="str">
        <f>IF(LEN('Open Positions'!B187)&gt;0,'Open Positions'!B187,"")</f>
      </c>
      <c r="B189" s="4" t="str">
        <f>IF(LEN('CALC'!A189)&gt;0,'Open Positions'!F187,"")</f>
      </c>
      <c r="C189" s="39" t="str">
        <f>IF(LEN(A189)&gt;0,'Open Positions'!Q187,"")</f>
      </c>
      <c r="D189" s="29" t="str">
        <f>IF(LEN(A189)&gt;0,B189*C189,"")</f>
      </c>
    </row>
    <row r="190" ht="15" customHeight="1" s="4" customFormat="1">
      <c r="A190" s="4" t="str">
        <f>IF(LEN('Open Positions'!B188)&gt;0,'Open Positions'!B188,"")</f>
      </c>
      <c r="B190" s="4" t="str">
        <f>IF(LEN('CALC'!A190)&gt;0,'Open Positions'!F188,"")</f>
      </c>
      <c r="C190" s="39" t="str">
        <f>IF(LEN(A190)&gt;0,'Open Positions'!Q188,"")</f>
      </c>
      <c r="D190" s="29" t="str">
        <f>IF(LEN(A190)&gt;0,B190*C190,"")</f>
      </c>
    </row>
    <row r="191" ht="15" customHeight="1" s="4" customFormat="1">
      <c r="A191" s="4" t="str">
        <f>IF(LEN('Open Positions'!B189)&gt;0,'Open Positions'!B189,"")</f>
      </c>
      <c r="B191" s="4" t="str">
        <f>IF(LEN('CALC'!A191)&gt;0,'Open Positions'!F189,"")</f>
      </c>
      <c r="C191" s="39" t="str">
        <f>IF(LEN(A191)&gt;0,'Open Positions'!Q189,"")</f>
      </c>
      <c r="D191" s="29" t="str">
        <f>IF(LEN(A191)&gt;0,B191*C191,"")</f>
      </c>
    </row>
    <row r="192" ht="15" customHeight="1" s="4" customFormat="1">
      <c r="A192" s="4" t="str">
        <f>IF(LEN('Open Positions'!B190)&gt;0,'Open Positions'!B190,"")</f>
      </c>
      <c r="B192" s="4" t="str">
        <f>IF(LEN('CALC'!A192)&gt;0,'Open Positions'!F190,"")</f>
      </c>
      <c r="C192" s="39" t="str">
        <f>IF(LEN(A192)&gt;0,'Open Positions'!Q190,"")</f>
      </c>
      <c r="D192" s="29" t="str">
        <f>IF(LEN(A192)&gt;0,B192*C192,"")</f>
      </c>
    </row>
    <row r="193" ht="15" customHeight="1" s="4" customFormat="1">
      <c r="A193" s="4" t="str">
        <f>IF(LEN('Open Positions'!B191)&gt;0,'Open Positions'!B191,"")</f>
      </c>
      <c r="B193" s="4" t="str">
        <f>IF(LEN('CALC'!A193)&gt;0,'Open Positions'!F191,"")</f>
      </c>
      <c r="C193" s="39" t="str">
        <f>IF(LEN(A193)&gt;0,'Open Positions'!Q191,"")</f>
      </c>
      <c r="D193" s="29" t="str">
        <f>IF(LEN(A193)&gt;0,B193*C193,"")</f>
      </c>
    </row>
    <row r="194" ht="15" customHeight="1" s="4" customFormat="1">
      <c r="A194" s="4" t="str">
        <f>IF(LEN('Open Positions'!B192)&gt;0,'Open Positions'!B192,"")</f>
      </c>
      <c r="B194" s="4" t="str">
        <f>IF(LEN('CALC'!A194)&gt;0,'Open Positions'!F192,"")</f>
      </c>
      <c r="C194" s="39" t="str">
        <f>IF(LEN(A194)&gt;0,'Open Positions'!Q192,"")</f>
      </c>
      <c r="D194" s="29" t="str">
        <f>IF(LEN(A194)&gt;0,B194*C194,"")</f>
      </c>
    </row>
    <row r="195" ht="15" customHeight="1" s="4" customFormat="1">
      <c r="A195" s="4" t="str">
        <f>IF(LEN('Open Positions'!B193)&gt;0,'Open Positions'!B193,"")</f>
      </c>
      <c r="B195" s="4" t="str">
        <f>IF(LEN('CALC'!A195)&gt;0,'Open Positions'!F193,"")</f>
      </c>
      <c r="C195" s="39" t="str">
        <f>IF(LEN(A195)&gt;0,'Open Positions'!Q193,"")</f>
      </c>
      <c r="D195" s="29" t="str">
        <f>IF(LEN(A195)&gt;0,B195*C195,"")</f>
      </c>
    </row>
    <row r="196" ht="15" customHeight="1" s="4" customFormat="1">
      <c r="A196" s="4" t="str">
        <f>IF(LEN('Open Positions'!B194)&gt;0,'Open Positions'!B194,"")</f>
      </c>
      <c r="B196" s="4" t="str">
        <f>IF(LEN('CALC'!A196)&gt;0,'Open Positions'!F194,"")</f>
      </c>
      <c r="C196" s="39" t="str">
        <f>IF(LEN(A196)&gt;0,'Open Positions'!Q194,"")</f>
      </c>
      <c r="D196" s="29" t="str">
        <f>IF(LEN(A196)&gt;0,B196*C196,"")</f>
      </c>
    </row>
    <row r="197" ht="15" customHeight="1" s="4" customFormat="1">
      <c r="A197" s="4" t="str">
        <f>IF(LEN('Open Positions'!B195)&gt;0,'Open Positions'!B195,"")</f>
      </c>
      <c r="B197" s="4" t="str">
        <f>IF(LEN('CALC'!A197)&gt;0,'Open Positions'!F195,"")</f>
      </c>
      <c r="C197" s="39" t="str">
        <f>IF(LEN(A197)&gt;0,'Open Positions'!Q195,"")</f>
      </c>
      <c r="D197" s="29" t="str">
        <f>IF(LEN(A197)&gt;0,B197*C197,"")</f>
      </c>
    </row>
    <row r="198" ht="15" customHeight="1" s="4" customFormat="1">
      <c r="A198" s="4" t="str">
        <f>IF(LEN('Open Positions'!B196)&gt;0,'Open Positions'!B196,"")</f>
      </c>
      <c r="B198" s="4" t="str">
        <f>IF(LEN('CALC'!A198)&gt;0,'Open Positions'!F196,"")</f>
      </c>
      <c r="C198" s="39" t="str">
        <f>IF(LEN(A198)&gt;0,'Open Positions'!Q196,"")</f>
      </c>
      <c r="D198" s="29" t="str">
        <f>IF(LEN(A198)&gt;0,B198*C198,"")</f>
      </c>
    </row>
    <row r="199" ht="15" customHeight="1" s="4" customFormat="1">
      <c r="A199" s="4" t="str">
        <f>IF(LEN('Open Positions'!B197)&gt;0,'Open Positions'!B197,"")</f>
      </c>
      <c r="B199" s="4" t="str">
        <f>IF(LEN('CALC'!A199)&gt;0,'Open Positions'!F197,"")</f>
      </c>
      <c r="C199" s="39" t="str">
        <f>IF(LEN(A199)&gt;0,'Open Positions'!Q197,"")</f>
      </c>
      <c r="D199" s="29" t="str">
        <f>IF(LEN(A199)&gt;0,B199*C199,"")</f>
      </c>
    </row>
    <row r="200" ht="15" customHeight="1" s="4" customFormat="1">
      <c r="A200" s="4" t="str">
        <f>IF(LEN('Open Positions'!B198)&gt;0,'Open Positions'!B198,"")</f>
      </c>
      <c r="B200" s="4" t="str">
        <f>IF(LEN('CALC'!A200)&gt;0,'Open Positions'!F198,"")</f>
      </c>
      <c r="C200" s="39" t="str">
        <f>IF(LEN(A200)&gt;0,'Open Positions'!Q198,"")</f>
      </c>
      <c r="D200" s="29" t="str">
        <f>IF(LEN(A200)&gt;0,B200*C200,"")</f>
      </c>
    </row>
    <row r="201" ht="15" customHeight="1" s="4" customFormat="1">
      <c r="A201" s="4" t="str">
        <f>IF(LEN('Open Positions'!B199)&gt;0,'Open Positions'!B199,"")</f>
      </c>
      <c r="B201" s="4" t="str">
        <f>IF(LEN('CALC'!A201)&gt;0,'Open Positions'!F199,"")</f>
      </c>
      <c r="C201" s="39" t="str">
        <f>IF(LEN(A201)&gt;0,'Open Positions'!Q199,"")</f>
      </c>
      <c r="D201" s="29" t="str">
        <f>IF(LEN(A201)&gt;0,B201*C201,"")</f>
      </c>
    </row>
    <row r="202" ht="15" customHeight="1" s="4" customFormat="1">
      <c r="A202" s="4" t="str">
        <f>IF(LEN('Open Positions'!B200)&gt;0,'Open Positions'!B200,"")</f>
      </c>
      <c r="B202" s="4" t="str">
        <f>IF(LEN('CALC'!A202)&gt;0,'Open Positions'!F200,"")</f>
      </c>
      <c r="C202" s="39" t="str">
        <f>IF(LEN(A202)&gt;0,'Open Positions'!Q200,"")</f>
      </c>
      <c r="D202" s="29" t="str">
        <f>IF(LEN(A202)&gt;0,B202*C202,"")</f>
      </c>
    </row>
    <row r="203" ht="15" customHeight="1" s="4" customFormat="1">
      <c r="A203" s="4" t="str">
        <f>IF(LEN('Open Positions'!B201)&gt;0,'Open Positions'!B201,"")</f>
      </c>
      <c r="B203" s="4" t="str">
        <f>IF(LEN('CALC'!A203)&gt;0,'Open Positions'!F201,"")</f>
      </c>
      <c r="C203" s="39" t="str">
        <f>IF(LEN(A203)&gt;0,'Open Positions'!Q201,"")</f>
      </c>
      <c r="D203" s="29" t="str">
        <f>IF(LEN(A203)&gt;0,B203*C203,"")</f>
      </c>
    </row>
    <row r="204" ht="15" customHeight="1" s="4" customFormat="1">
      <c r="A204" s="4" t="str">
        <f>IF(LEN('Open Positions'!B202)&gt;0,'Open Positions'!B202,"")</f>
      </c>
      <c r="B204" s="4" t="str">
        <f>IF(LEN('CALC'!A204)&gt;0,'Open Positions'!F202,"")</f>
      </c>
      <c r="C204" s="39" t="str">
        <f>IF(LEN(A204)&gt;0,'Open Positions'!Q202,"")</f>
      </c>
      <c r="D204" s="29" t="str">
        <f>IF(LEN(A204)&gt;0,B204*C204,"")</f>
      </c>
    </row>
    <row r="205" ht="15" customHeight="1" s="4" customFormat="1">
      <c r="A205" s="4" t="str">
        <f>IF(LEN('Open Positions'!B203)&gt;0,'Open Positions'!B203,"")</f>
      </c>
      <c r="B205" s="4" t="str">
        <f>IF(LEN('CALC'!A205)&gt;0,'Open Positions'!F203,"")</f>
      </c>
      <c r="C205" s="39" t="str">
        <f>IF(LEN(A205)&gt;0,'Open Positions'!Q203,"")</f>
      </c>
      <c r="D205" s="29" t="str">
        <f>IF(LEN(A205)&gt;0,B205*C205,"")</f>
      </c>
    </row>
    <row r="206" ht="15" customHeight="1" s="4" customFormat="1">
      <c r="A206" s="4" t="str">
        <f>IF(LEN('Open Positions'!B204)&gt;0,'Open Positions'!B204,"")</f>
      </c>
      <c r="B206" s="4" t="str">
        <f>IF(LEN('CALC'!A206)&gt;0,'Open Positions'!F204,"")</f>
      </c>
      <c r="C206" s="39" t="str">
        <f>IF(LEN(A206)&gt;0,'Open Positions'!Q204,"")</f>
      </c>
      <c r="D206" s="29" t="str">
        <f>IF(LEN(A206)&gt;0,B206*C206,"")</f>
      </c>
    </row>
    <row r="207" ht="15" customHeight="1" s="4" customFormat="1">
      <c r="A207" s="4" t="str">
        <f>IF(LEN('Open Positions'!B205)&gt;0,'Open Positions'!B205,"")</f>
      </c>
      <c r="B207" s="4" t="str">
        <f>IF(LEN('CALC'!A207)&gt;0,'Open Positions'!F205,"")</f>
      </c>
      <c r="C207" s="39" t="str">
        <f>IF(LEN(A207)&gt;0,'Open Positions'!Q205,"")</f>
      </c>
      <c r="D207" s="29" t="str">
        <f>IF(LEN(A207)&gt;0,B207*C207,"")</f>
      </c>
    </row>
    <row r="208" ht="15" customHeight="1" s="4" customFormat="1">
      <c r="A208" s="4" t="str">
        <f>IF(LEN('Open Positions'!B206)&gt;0,'Open Positions'!B206,"")</f>
      </c>
      <c r="B208" s="4" t="str">
        <f>IF(LEN('CALC'!A208)&gt;0,'Open Positions'!F206,"")</f>
      </c>
      <c r="C208" s="39" t="str">
        <f>IF(LEN(A208)&gt;0,'Open Positions'!Q206,"")</f>
      </c>
      <c r="D208" s="29" t="str">
        <f>IF(LEN(A208)&gt;0,B208*C208,"")</f>
      </c>
    </row>
    <row r="209" ht="15" customHeight="1" s="4" customFormat="1">
      <c r="A209" s="4" t="str">
        <f>IF(LEN('Open Positions'!B207)&gt;0,'Open Positions'!B207,"")</f>
      </c>
      <c r="B209" s="4" t="str">
        <f>IF(LEN('CALC'!A209)&gt;0,'Open Positions'!F207,"")</f>
      </c>
      <c r="C209" s="39" t="str">
        <f>IF(LEN(A209)&gt;0,'Open Positions'!Q207,"")</f>
      </c>
      <c r="D209" s="29" t="str">
        <f>IF(LEN(A209)&gt;0,B209*C209,"")</f>
      </c>
    </row>
    <row r="210" ht="15" customHeight="1" s="4" customFormat="1">
      <c r="A210" s="4" t="str">
        <f>IF(LEN('Open Positions'!B208)&gt;0,'Open Positions'!B208,"")</f>
      </c>
      <c r="B210" s="4" t="str">
        <f>IF(LEN('CALC'!A210)&gt;0,'Open Positions'!F208,"")</f>
      </c>
      <c r="C210" s="39" t="str">
        <f>IF(LEN(A210)&gt;0,'Open Positions'!Q208,"")</f>
      </c>
      <c r="D210" s="29" t="str">
        <f>IF(LEN(A210)&gt;0,B210*C210,"")</f>
      </c>
    </row>
    <row r="211" ht="15" customHeight="1" s="4" customFormat="1">
      <c r="A211" s="4" t="str">
        <f>IF(LEN('Open Positions'!B209)&gt;0,'Open Positions'!B209,"")</f>
      </c>
      <c r="B211" s="4" t="str">
        <f>IF(LEN('CALC'!A211)&gt;0,'Open Positions'!F209,"")</f>
      </c>
      <c r="C211" s="39" t="str">
        <f>IF(LEN(A211)&gt;0,'Open Positions'!Q209,"")</f>
      </c>
      <c r="D211" s="29" t="str">
        <f>IF(LEN(A211)&gt;0,B211*C211,"")</f>
      </c>
    </row>
    <row r="212" ht="15" customHeight="1" s="4" customFormat="1">
      <c r="A212" s="4" t="str">
        <f>IF(LEN('Open Positions'!B210)&gt;0,'Open Positions'!B210,"")</f>
      </c>
      <c r="B212" s="4" t="str">
        <f>IF(LEN('CALC'!A212)&gt;0,'Open Positions'!F210,"")</f>
      </c>
      <c r="C212" s="39" t="str">
        <f>IF(LEN(A212)&gt;0,'Open Positions'!Q210,"")</f>
      </c>
      <c r="D212" s="29" t="str">
        <f>IF(LEN(A212)&gt;0,B212*C212,"")</f>
      </c>
    </row>
    <row r="213" ht="15" customHeight="1" s="4" customFormat="1">
      <c r="A213" s="4" t="str">
        <f>IF(LEN('Open Positions'!B211)&gt;0,'Open Positions'!B211,"")</f>
      </c>
      <c r="B213" s="4" t="str">
        <f>IF(LEN('CALC'!A213)&gt;0,'Open Positions'!F211,"")</f>
      </c>
      <c r="C213" s="39" t="str">
        <f>IF(LEN(A213)&gt;0,'Open Positions'!Q211,"")</f>
      </c>
      <c r="D213" s="29" t="str">
        <f>IF(LEN(A213)&gt;0,B213*C213,"")</f>
      </c>
    </row>
    <row r="214" ht="15" customHeight="1" s="4" customFormat="1">
      <c r="A214" s="4" t="str">
        <f>IF(LEN('Open Positions'!B212)&gt;0,'Open Positions'!B212,"")</f>
      </c>
      <c r="B214" s="4" t="str">
        <f>IF(LEN('CALC'!A214)&gt;0,'Open Positions'!F212,"")</f>
      </c>
      <c r="C214" s="39" t="str">
        <f>IF(LEN(A214)&gt;0,'Open Positions'!Q212,"")</f>
      </c>
      <c r="D214" s="29" t="str">
        <f>IF(LEN(A214)&gt;0,B214*C214,"")</f>
      </c>
    </row>
    <row r="215" ht="15" customHeight="1" s="4" customFormat="1">
      <c r="A215" s="4" t="str">
        <f>IF(LEN('Open Positions'!B213)&gt;0,'Open Positions'!B213,"")</f>
      </c>
      <c r="B215" s="4" t="str">
        <f>IF(LEN('CALC'!A215)&gt;0,'Open Positions'!F213,"")</f>
      </c>
      <c r="C215" s="39" t="str">
        <f>IF(LEN(A215)&gt;0,'Open Positions'!Q213,"")</f>
      </c>
      <c r="D215" s="29" t="str">
        <f>IF(LEN(A215)&gt;0,B215*C215,"")</f>
      </c>
    </row>
    <row r="216" ht="15" customHeight="1" s="4" customFormat="1">
      <c r="A216" s="4" t="str">
        <f>IF(LEN('Open Positions'!B214)&gt;0,'Open Positions'!B214,"")</f>
      </c>
      <c r="B216" s="4" t="str">
        <f>IF(LEN('CALC'!A216)&gt;0,'Open Positions'!F214,"")</f>
      </c>
      <c r="C216" s="39" t="str">
        <f>IF(LEN(A216)&gt;0,'Open Positions'!Q214,"")</f>
      </c>
      <c r="D216" s="29" t="str">
        <f>IF(LEN(A216)&gt;0,B216*C216,"")</f>
      </c>
    </row>
    <row r="217" ht="15" customHeight="1" s="4" customFormat="1">
      <c r="A217" s="4" t="str">
        <f>IF(LEN('Open Positions'!B215)&gt;0,'Open Positions'!B215,"")</f>
      </c>
      <c r="B217" s="4" t="str">
        <f>IF(LEN('CALC'!A217)&gt;0,'Open Positions'!F215,"")</f>
      </c>
      <c r="C217" s="39" t="str">
        <f>IF(LEN(A217)&gt;0,'Open Positions'!Q215,"")</f>
      </c>
      <c r="D217" s="29" t="str">
        <f>IF(LEN(A217)&gt;0,B217*C217,"")</f>
      </c>
    </row>
    <row r="218" ht="15" customHeight="1" s="4" customFormat="1">
      <c r="A218" s="4" t="str">
        <f>IF(LEN('Open Positions'!B216)&gt;0,'Open Positions'!B216,"")</f>
      </c>
      <c r="B218" s="4" t="str">
        <f>IF(LEN('CALC'!A218)&gt;0,'Open Positions'!F216,"")</f>
      </c>
      <c r="C218" s="39" t="str">
        <f>IF(LEN(A218)&gt;0,'Open Positions'!Q216,"")</f>
      </c>
      <c r="D218" s="29" t="str">
        <f>IF(LEN(A218)&gt;0,B218*C218,"")</f>
      </c>
    </row>
    <row r="219" ht="15" customHeight="1" s="4" customFormat="1">
      <c r="A219" s="4" t="str">
        <f>IF(LEN('Open Positions'!B217)&gt;0,'Open Positions'!B217,"")</f>
      </c>
      <c r="B219" s="4" t="str">
        <f>IF(LEN('CALC'!A219)&gt;0,'Open Positions'!F217,"")</f>
      </c>
      <c r="C219" s="39" t="str">
        <f>IF(LEN(A219)&gt;0,'Open Positions'!Q217,"")</f>
      </c>
      <c r="D219" s="29" t="str">
        <f>IF(LEN(A219)&gt;0,B219*C219,"")</f>
      </c>
    </row>
    <row r="220" ht="15" customHeight="1" s="4" customFormat="1">
      <c r="A220" s="4" t="str">
        <f>IF(LEN('Open Positions'!B218)&gt;0,'Open Positions'!B218,"")</f>
      </c>
      <c r="B220" s="4" t="str">
        <f>IF(LEN('CALC'!A220)&gt;0,'Open Positions'!F218,"")</f>
      </c>
      <c r="C220" s="39" t="str">
        <f>IF(LEN(A220)&gt;0,'Open Positions'!Q218,"")</f>
      </c>
      <c r="D220" s="29" t="str">
        <f>IF(LEN(A220)&gt;0,B220*C220,"")</f>
      </c>
    </row>
    <row r="221" ht="15" customHeight="1" s="4" customFormat="1">
      <c r="A221" s="4" t="str">
        <f>IF(LEN('Open Positions'!B219)&gt;0,'Open Positions'!B219,"")</f>
      </c>
      <c r="B221" s="4" t="str">
        <f>IF(LEN('CALC'!A221)&gt;0,'Open Positions'!F219,"")</f>
      </c>
      <c r="C221" s="39" t="str">
        <f>IF(LEN(A221)&gt;0,'Open Positions'!Q219,"")</f>
      </c>
      <c r="D221" s="29" t="str">
        <f>IF(LEN(A221)&gt;0,B221*C221,"")</f>
      </c>
    </row>
    <row r="222" ht="15" customHeight="1" s="4" customFormat="1">
      <c r="A222" s="4" t="str">
        <f>IF(LEN('Open Positions'!B220)&gt;0,'Open Positions'!B220,"")</f>
      </c>
      <c r="B222" s="4" t="str">
        <f>IF(LEN('CALC'!A222)&gt;0,'Open Positions'!F220,"")</f>
      </c>
      <c r="C222" s="39" t="str">
        <f>IF(LEN(A222)&gt;0,'Open Positions'!Q220,"")</f>
      </c>
      <c r="D222" s="29" t="str">
        <f>IF(LEN(A222)&gt;0,B222*C222,"")</f>
      </c>
    </row>
    <row r="223" ht="15" customHeight="1" s="4" customFormat="1">
      <c r="A223" s="4" t="str">
        <f>IF(LEN('Open Positions'!B221)&gt;0,'Open Positions'!B221,"")</f>
      </c>
      <c r="B223" s="4" t="str">
        <f>IF(LEN('CALC'!A223)&gt;0,'Open Positions'!F221,"")</f>
      </c>
      <c r="C223" s="39" t="str">
        <f>IF(LEN(A223)&gt;0,'Open Positions'!Q221,"")</f>
      </c>
      <c r="D223" s="29" t="str">
        <f>IF(LEN(A223)&gt;0,B223*C223,"")</f>
      </c>
    </row>
    <row r="224" ht="15" customHeight="1" s="4" customFormat="1">
      <c r="A224" s="4" t="str">
        <f>IF(LEN('Open Positions'!B222)&gt;0,'Open Positions'!B222,"")</f>
      </c>
      <c r="B224" s="4" t="str">
        <f>IF(LEN('CALC'!A224)&gt;0,'Open Positions'!F222,"")</f>
      </c>
      <c r="C224" s="39" t="str">
        <f>IF(LEN(A224)&gt;0,'Open Positions'!Q222,"")</f>
      </c>
      <c r="D224" s="29" t="str">
        <f>IF(LEN(A224)&gt;0,B224*C224,"")</f>
      </c>
    </row>
    <row r="225" ht="15" customHeight="1" s="4" customFormat="1">
      <c r="A225" s="4" t="str">
        <f>IF(LEN('Open Positions'!B223)&gt;0,'Open Positions'!B223,"")</f>
      </c>
      <c r="B225" s="4" t="str">
        <f>IF(LEN('CALC'!A225)&gt;0,'Open Positions'!F223,"")</f>
      </c>
      <c r="C225" s="39" t="str">
        <f>IF(LEN(A225)&gt;0,'Open Positions'!Q223,"")</f>
      </c>
      <c r="D225" s="29" t="str">
        <f>IF(LEN(A225)&gt;0,B225*C225,"")</f>
      </c>
    </row>
    <row r="226" ht="15" customHeight="1" s="4" customFormat="1">
      <c r="A226" s="4" t="str">
        <f>IF(LEN('Open Positions'!B224)&gt;0,'Open Positions'!B224,"")</f>
      </c>
      <c r="B226" s="4" t="str">
        <f>IF(LEN('CALC'!A226)&gt;0,'Open Positions'!F224,"")</f>
      </c>
      <c r="C226" s="39" t="str">
        <f>IF(LEN(A226)&gt;0,'Open Positions'!Q224,"")</f>
      </c>
      <c r="D226" s="29" t="str">
        <f>IF(LEN(A226)&gt;0,B226*C226,"")</f>
      </c>
    </row>
    <row r="227" ht="15" customHeight="1" s="4" customFormat="1">
      <c r="A227" s="4" t="str">
        <f>IF(LEN('Open Positions'!B225)&gt;0,'Open Positions'!B225,"")</f>
      </c>
      <c r="B227" s="4" t="str">
        <f>IF(LEN('CALC'!A227)&gt;0,'Open Positions'!F225,"")</f>
      </c>
      <c r="C227" s="39" t="str">
        <f>IF(LEN(A227)&gt;0,'Open Positions'!Q225,"")</f>
      </c>
      <c r="D227" s="29" t="str">
        <f>IF(LEN(A227)&gt;0,B227*C227,"")</f>
      </c>
    </row>
    <row r="228" ht="15" customHeight="1" s="4" customFormat="1">
      <c r="A228" s="4" t="str">
        <f>IF(LEN('Open Positions'!B226)&gt;0,'Open Positions'!B226,"")</f>
      </c>
      <c r="B228" s="4" t="str">
        <f>IF(LEN('CALC'!A228)&gt;0,'Open Positions'!F226,"")</f>
      </c>
      <c r="C228" s="39" t="str">
        <f>IF(LEN(A228)&gt;0,'Open Positions'!Q226,"")</f>
      </c>
      <c r="D228" s="29" t="str">
        <f>IF(LEN(A228)&gt;0,B228*C228,"")</f>
      </c>
    </row>
    <row r="229" ht="15" customHeight="1" s="4" customFormat="1">
      <c r="A229" s="4" t="str">
        <f>IF(LEN('Open Positions'!B227)&gt;0,'Open Positions'!B227,"")</f>
      </c>
      <c r="B229" s="4" t="str">
        <f>IF(LEN('CALC'!A229)&gt;0,'Open Positions'!F227,"")</f>
      </c>
      <c r="C229" s="39" t="str">
        <f>IF(LEN(A229)&gt;0,'Open Positions'!Q227,"")</f>
      </c>
      <c r="D229" s="29" t="str">
        <f>IF(LEN(A229)&gt;0,B229*C229,"")</f>
      </c>
    </row>
    <row r="230" ht="15" customHeight="1" s="4" customFormat="1">
      <c r="A230" s="4" t="str">
        <f>IF(LEN('Open Positions'!B228)&gt;0,'Open Positions'!B228,"")</f>
      </c>
      <c r="B230" s="4" t="str">
        <f>IF(LEN('CALC'!A230)&gt;0,'Open Positions'!F228,"")</f>
      </c>
      <c r="C230" s="39" t="str">
        <f>IF(LEN(A230)&gt;0,'Open Positions'!Q228,"")</f>
      </c>
      <c r="D230" s="29" t="str">
        <f>IF(LEN(A230)&gt;0,B230*C230,"")</f>
      </c>
    </row>
    <row r="231" ht="15" customHeight="1" s="4" customFormat="1">
      <c r="A231" s="4" t="str">
        <f>IF(LEN('Open Positions'!B229)&gt;0,'Open Positions'!B229,"")</f>
      </c>
      <c r="B231" s="4" t="str">
        <f>IF(LEN('CALC'!A231)&gt;0,'Open Positions'!F229,"")</f>
      </c>
      <c r="C231" s="39" t="str">
        <f>IF(LEN(A231)&gt;0,'Open Positions'!Q229,"")</f>
      </c>
      <c r="D231" s="29" t="str">
        <f>IF(LEN(A231)&gt;0,B231*C231,"")</f>
      </c>
    </row>
    <row r="232" ht="15" customHeight="1" s="4" customFormat="1">
      <c r="A232" s="4" t="str">
        <f>IF(LEN('Open Positions'!B230)&gt;0,'Open Positions'!B230,"")</f>
      </c>
      <c r="B232" s="4" t="str">
        <f>IF(LEN('CALC'!A232)&gt;0,'Open Positions'!F230,"")</f>
      </c>
      <c r="C232" s="39" t="str">
        <f>IF(LEN(A232)&gt;0,'Open Positions'!Q230,"")</f>
      </c>
      <c r="D232" s="29" t="str">
        <f>IF(LEN(A232)&gt;0,B232*C232,"")</f>
      </c>
    </row>
    <row r="233" ht="15" customHeight="1" s="4" customFormat="1">
      <c r="A233" s="4" t="str">
        <f>IF(LEN('Open Positions'!B231)&gt;0,'Open Positions'!B231,"")</f>
      </c>
      <c r="B233" s="4" t="str">
        <f>IF(LEN('CALC'!A233)&gt;0,'Open Positions'!F231,"")</f>
      </c>
      <c r="C233" s="39" t="str">
        <f>IF(LEN(A233)&gt;0,'Open Positions'!Q231,"")</f>
      </c>
      <c r="D233" s="29" t="str">
        <f>IF(LEN(A233)&gt;0,B233*C233,"")</f>
      </c>
    </row>
    <row r="234" ht="15" customHeight="1" s="4" customFormat="1">
      <c r="A234" s="4" t="str">
        <f>IF(LEN('Open Positions'!B232)&gt;0,'Open Positions'!B232,"")</f>
      </c>
      <c r="B234" s="4" t="str">
        <f>IF(LEN('CALC'!A234)&gt;0,'Open Positions'!F232,"")</f>
      </c>
      <c r="C234" s="39" t="str">
        <f>IF(LEN(A234)&gt;0,'Open Positions'!Q232,"")</f>
      </c>
      <c r="D234" s="29" t="str">
        <f>IF(LEN(A234)&gt;0,B234*C234,"")</f>
      </c>
    </row>
    <row r="235" ht="15" customHeight="1" s="4" customFormat="1">
      <c r="A235" s="4" t="str">
        <f>IF(LEN('Open Positions'!B233)&gt;0,'Open Positions'!B233,"")</f>
      </c>
      <c r="B235" s="4" t="str">
        <f>IF(LEN('CALC'!A235)&gt;0,'Open Positions'!F233,"")</f>
      </c>
      <c r="C235" s="39" t="str">
        <f>IF(LEN(A235)&gt;0,'Open Positions'!Q233,"")</f>
      </c>
      <c r="D235" s="29" t="str">
        <f>IF(LEN(A235)&gt;0,B235*C235,"")</f>
      </c>
    </row>
    <row r="236" ht="15" customHeight="1" s="4" customFormat="1">
      <c r="A236" s="4" t="str">
        <f>IF(LEN('Open Positions'!B234)&gt;0,'Open Positions'!B234,"")</f>
      </c>
      <c r="B236" s="4" t="str">
        <f>IF(LEN('CALC'!A236)&gt;0,'Open Positions'!F234,"")</f>
      </c>
      <c r="C236" s="39" t="str">
        <f>IF(LEN(A236)&gt;0,'Open Positions'!Q234,"")</f>
      </c>
      <c r="D236" s="29" t="str">
        <f>IF(LEN(A236)&gt;0,B236*C236,"")</f>
      </c>
    </row>
    <row r="237" ht="15" customHeight="1" s="4" customFormat="1">
      <c r="A237" s="4" t="str">
        <f>IF(LEN('Open Positions'!B235)&gt;0,'Open Positions'!B235,"")</f>
      </c>
      <c r="B237" s="4" t="str">
        <f>IF(LEN('CALC'!A237)&gt;0,'Open Positions'!F235,"")</f>
      </c>
      <c r="C237" s="39" t="str">
        <f>IF(LEN(A237)&gt;0,'Open Positions'!Q235,"")</f>
      </c>
      <c r="D237" s="29" t="str">
        <f>IF(LEN(A237)&gt;0,B237*C237,"")</f>
      </c>
    </row>
    <row r="238" ht="15" customHeight="1" s="4" customFormat="1">
      <c r="A238" s="4" t="str">
        <f>IF(LEN('Open Positions'!B236)&gt;0,'Open Positions'!B236,"")</f>
      </c>
      <c r="B238" s="4" t="str">
        <f>IF(LEN('CALC'!A238)&gt;0,'Open Positions'!F236,"")</f>
      </c>
      <c r="C238" s="39" t="str">
        <f>IF(LEN(A238)&gt;0,'Open Positions'!Q236,"")</f>
      </c>
      <c r="D238" s="29" t="str">
        <f>IF(LEN(A238)&gt;0,B238*C238,"")</f>
      </c>
    </row>
    <row r="239" ht="15" customHeight="1" s="4" customFormat="1">
      <c r="A239" s="4" t="str">
        <f>IF(LEN('Open Positions'!B237)&gt;0,'Open Positions'!B237,"")</f>
      </c>
      <c r="B239" s="4" t="str">
        <f>IF(LEN('CALC'!A239)&gt;0,'Open Positions'!F237,"")</f>
      </c>
      <c r="C239" s="39" t="str">
        <f>IF(LEN(A239)&gt;0,'Open Positions'!Q237,"")</f>
      </c>
      <c r="D239" s="29" t="str">
        <f>IF(LEN(A239)&gt;0,B239*C239,"")</f>
      </c>
    </row>
    <row r="240" ht="15" customHeight="1" s="4" customFormat="1">
      <c r="A240" s="4" t="str">
        <f>IF(LEN('Open Positions'!B238)&gt;0,'Open Positions'!B238,"")</f>
      </c>
      <c r="B240" s="4" t="str">
        <f>IF(LEN('CALC'!A240)&gt;0,'Open Positions'!F238,"")</f>
      </c>
      <c r="C240" s="39" t="str">
        <f>IF(LEN(A240)&gt;0,'Open Positions'!Q238,"")</f>
      </c>
      <c r="D240" s="29" t="str">
        <f>IF(LEN(A240)&gt;0,B240*C240,"")</f>
      </c>
    </row>
    <row r="241" ht="15" customHeight="1" s="4" customFormat="1">
      <c r="A241" s="4" t="str">
        <f>IF(LEN('Open Positions'!B239)&gt;0,'Open Positions'!B239,"")</f>
      </c>
      <c r="B241" s="4" t="str">
        <f>IF(LEN('CALC'!A241)&gt;0,'Open Positions'!F239,"")</f>
      </c>
      <c r="C241" s="39" t="str">
        <f>IF(LEN(A241)&gt;0,'Open Positions'!Q239,"")</f>
      </c>
      <c r="D241" s="29" t="str">
        <f>IF(LEN(A241)&gt;0,B241*C241,"")</f>
      </c>
    </row>
    <row r="242" ht="15" customHeight="1" s="4" customFormat="1">
      <c r="A242" s="4" t="str">
        <f>IF(LEN('Open Positions'!B240)&gt;0,'Open Positions'!B240,"")</f>
      </c>
      <c r="B242" s="4" t="str">
        <f>IF(LEN('CALC'!A242)&gt;0,'Open Positions'!F240,"")</f>
      </c>
      <c r="C242" s="39" t="str">
        <f>IF(LEN(A242)&gt;0,'Open Positions'!Q240,"")</f>
      </c>
      <c r="D242" s="29" t="str">
        <f>IF(LEN(A242)&gt;0,B242*C242,"")</f>
      </c>
    </row>
    <row r="243" ht="15" customHeight="1" s="4" customFormat="1">
      <c r="A243" s="4" t="str">
        <f>IF(LEN('Open Positions'!B241)&gt;0,'Open Positions'!B241,"")</f>
      </c>
      <c r="B243" s="4" t="str">
        <f>IF(LEN('CALC'!A243)&gt;0,'Open Positions'!F241,"")</f>
      </c>
      <c r="C243" s="39" t="str">
        <f>IF(LEN(A243)&gt;0,'Open Positions'!Q241,"")</f>
      </c>
      <c r="D243" s="29" t="str">
        <f>IF(LEN(A243)&gt;0,B243*C243,"")</f>
      </c>
    </row>
    <row r="244" ht="15" customHeight="1" s="4" customFormat="1">
      <c r="A244" s="4" t="str">
        <f>IF(LEN('Open Positions'!B242)&gt;0,'Open Positions'!B242,"")</f>
      </c>
      <c r="B244" s="4" t="str">
        <f>IF(LEN('CALC'!A244)&gt;0,'Open Positions'!F242,"")</f>
      </c>
      <c r="C244" s="39" t="str">
        <f>IF(LEN(A244)&gt;0,'Open Positions'!Q242,"")</f>
      </c>
      <c r="D244" s="29" t="str">
        <f>IF(LEN(A244)&gt;0,B244*C244,"")</f>
      </c>
    </row>
    <row r="245" ht="15" customHeight="1" s="4" customFormat="1">
      <c r="A245" s="4" t="str">
        <f>IF(LEN('Open Positions'!B243)&gt;0,'Open Positions'!B243,"")</f>
      </c>
      <c r="B245" s="4" t="str">
        <f>IF(LEN('CALC'!A245)&gt;0,'Open Positions'!F243,"")</f>
      </c>
      <c r="C245" s="39" t="str">
        <f>IF(LEN(A245)&gt;0,'Open Positions'!Q243,"")</f>
      </c>
      <c r="D245" s="29" t="str">
        <f>IF(LEN(A245)&gt;0,B245*C245,"")</f>
      </c>
    </row>
    <row r="246" ht="15" customHeight="1" s="4" customFormat="1">
      <c r="A246" s="4" t="str">
        <f>IF(LEN('Open Positions'!B244)&gt;0,'Open Positions'!B244,"")</f>
      </c>
      <c r="B246" s="4" t="str">
        <f>IF(LEN('CALC'!A246)&gt;0,'Open Positions'!F244,"")</f>
      </c>
      <c r="C246" s="39" t="str">
        <f>IF(LEN(A246)&gt;0,'Open Positions'!Q244,"")</f>
      </c>
      <c r="D246" s="29" t="str">
        <f>IF(LEN(A246)&gt;0,B246*C246,"")</f>
      </c>
    </row>
    <row r="247" ht="15" customHeight="1" s="4" customFormat="1">
      <c r="A247" s="4" t="str">
        <f>IF(LEN('Open Positions'!B245)&gt;0,'Open Positions'!B245,"")</f>
      </c>
      <c r="B247" s="4" t="str">
        <f>IF(LEN('CALC'!A247)&gt;0,'Open Positions'!F245,"")</f>
      </c>
      <c r="C247" s="39" t="str">
        <f>IF(LEN(A247)&gt;0,'Open Positions'!Q245,"")</f>
      </c>
      <c r="D247" s="29" t="str">
        <f>IF(LEN(A247)&gt;0,B247*C247,"")</f>
      </c>
    </row>
    <row r="248" ht="15" customHeight="1" s="4" customFormat="1">
      <c r="A248" s="4" t="str">
        <f>IF(LEN('Open Positions'!B246)&gt;0,'Open Positions'!B246,"")</f>
      </c>
      <c r="B248" s="4" t="str">
        <f>IF(LEN('CALC'!A248)&gt;0,'Open Positions'!F246,"")</f>
      </c>
      <c r="C248" s="39" t="str">
        <f>IF(LEN(A248)&gt;0,'Open Positions'!Q246,"")</f>
      </c>
      <c r="D248" s="29" t="str">
        <f>IF(LEN(A248)&gt;0,B248*C248,"")</f>
      </c>
    </row>
    <row r="249" ht="15" customHeight="1" s="4" customFormat="1">
      <c r="A249" s="4" t="str">
        <f>IF(LEN('Open Positions'!B247)&gt;0,'Open Positions'!B247,"")</f>
      </c>
      <c r="B249" s="4" t="str">
        <f>IF(LEN('CALC'!A249)&gt;0,'Open Positions'!F247,"")</f>
      </c>
      <c r="C249" s="39" t="str">
        <f>IF(LEN(A249)&gt;0,'Open Positions'!Q247,"")</f>
      </c>
      <c r="D249" s="29" t="str">
        <f>IF(LEN(A249)&gt;0,B249*C249,"")</f>
      </c>
    </row>
    <row r="250" ht="15" customHeight="1" s="4" customFormat="1">
      <c r="A250" s="4" t="str">
        <f>IF(LEN('Open Positions'!B248)&gt;0,'Open Positions'!B248,"")</f>
      </c>
      <c r="B250" s="4" t="str">
        <f>IF(LEN('CALC'!A250)&gt;0,'Open Positions'!F248,"")</f>
      </c>
      <c r="C250" s="39" t="str">
        <f>IF(LEN(A250)&gt;0,'Open Positions'!Q248,"")</f>
      </c>
      <c r="D250" s="29" t="str">
        <f>IF(LEN(A250)&gt;0,B250*C250,"")</f>
      </c>
    </row>
    <row r="251" ht="15" customHeight="1" s="4" customFormat="1">
      <c r="A251" s="4" t="str">
        <f>IF(LEN('Open Positions'!B249)&gt;0,'Open Positions'!B249,"")</f>
      </c>
      <c r="B251" s="4" t="str">
        <f>IF(LEN('CALC'!A251)&gt;0,'Open Positions'!F249,"")</f>
      </c>
      <c r="C251" s="39" t="str">
        <f>IF(LEN(A251)&gt;0,'Open Positions'!Q249,"")</f>
      </c>
      <c r="D251" s="29" t="str">
        <f>IF(LEN(A251)&gt;0,B251*C251,"")</f>
      </c>
    </row>
    <row r="252" ht="15" customHeight="1" s="4" customFormat="1">
      <c r="A252" s="4" t="str">
        <f>IF(LEN('Open Positions'!B250)&gt;0,'Open Positions'!B250,"")</f>
      </c>
      <c r="B252" s="4" t="str">
        <f>IF(LEN('CALC'!A252)&gt;0,'Open Positions'!F250,"")</f>
      </c>
      <c r="C252" s="39" t="str">
        <f>IF(LEN(A252)&gt;0,'Open Positions'!Q250,"")</f>
      </c>
      <c r="D252" s="29" t="str">
        <f>IF(LEN(A252)&gt;0,B252*C252,"")</f>
      </c>
    </row>
    <row r="253" ht="15" customHeight="1" s="4" customFormat="1">
      <c r="A253" s="4" t="str">
        <f>IF(LEN('Open Positions'!B251)&gt;0,'Open Positions'!B251,"")</f>
      </c>
      <c r="B253" s="4" t="str">
        <f>IF(LEN('CALC'!A253)&gt;0,'Open Positions'!F251,"")</f>
      </c>
      <c r="C253" s="39" t="str">
        <f>IF(LEN(A253)&gt;0,'Open Positions'!Q251,"")</f>
      </c>
      <c r="D253" s="29" t="str">
        <f>IF(LEN(A253)&gt;0,B253*C253,"")</f>
      </c>
    </row>
    <row r="254" ht="15" customHeight="1" s="4" customFormat="1">
      <c r="A254" s="4" t="str">
        <f>IF(LEN('Open Positions'!B252)&gt;0,'Open Positions'!B252,"")</f>
      </c>
      <c r="B254" s="4" t="str">
        <f>IF(LEN('CALC'!A254)&gt;0,'Open Positions'!F252,"")</f>
      </c>
      <c r="C254" s="39" t="str">
        <f>IF(LEN(A254)&gt;0,'Open Positions'!Q252,"")</f>
      </c>
      <c r="D254" s="29" t="str">
        <f>IF(LEN(A254)&gt;0,B254*C254,"")</f>
      </c>
    </row>
    <row r="255" ht="15" customHeight="1" s="4" customFormat="1">
      <c r="A255" s="4" t="str">
        <f>IF(LEN('Open Positions'!B253)&gt;0,'Open Positions'!B253,"")</f>
      </c>
      <c r="B255" s="4" t="str">
        <f>IF(LEN('CALC'!A255)&gt;0,'Open Positions'!F253,"")</f>
      </c>
      <c r="C255" s="39" t="str">
        <f>IF(LEN(A255)&gt;0,'Open Positions'!Q253,"")</f>
      </c>
      <c r="D255" s="29" t="str">
        <f>IF(LEN(A255)&gt;0,B255*C255,"")</f>
      </c>
    </row>
    <row r="256" ht="15" customHeight="1" s="4" customFormat="1">
      <c r="A256" s="4" t="str">
        <f>IF(LEN('Open Positions'!B254)&gt;0,'Open Positions'!B254,"")</f>
      </c>
      <c r="B256" s="4" t="str">
        <f>IF(LEN('CALC'!A256)&gt;0,'Open Positions'!F254,"")</f>
      </c>
      <c r="C256" s="39" t="str">
        <f>IF(LEN(A256)&gt;0,'Open Positions'!Q254,"")</f>
      </c>
      <c r="D256" s="29" t="str">
        <f>IF(LEN(A256)&gt;0,B256*C256,"")</f>
      </c>
    </row>
    <row r="257" ht="15" customHeight="1" s="4" customFormat="1">
      <c r="A257" s="4" t="str">
        <f>IF(LEN('Open Positions'!B255)&gt;0,'Open Positions'!B255,"")</f>
      </c>
      <c r="B257" s="4" t="str">
        <f>IF(LEN('CALC'!A257)&gt;0,'Open Positions'!F255,"")</f>
      </c>
      <c r="C257" s="39" t="str">
        <f>IF(LEN(A257)&gt;0,'Open Positions'!Q255,"")</f>
      </c>
      <c r="D257" s="29" t="str">
        <f>IF(LEN(A257)&gt;0,B257*C257,"")</f>
      </c>
    </row>
    <row r="258" ht="15" customHeight="1" s="4" customFormat="1">
      <c r="A258" s="4" t="str">
        <f>IF(LEN('Open Positions'!B256)&gt;0,'Open Positions'!B256,"")</f>
      </c>
      <c r="B258" s="4" t="str">
        <f>IF(LEN('CALC'!A258)&gt;0,'Open Positions'!F256,"")</f>
      </c>
      <c r="C258" s="39" t="str">
        <f>IF(LEN(A258)&gt;0,'Open Positions'!Q256,"")</f>
      </c>
      <c r="D258" s="29" t="str">
        <f>IF(LEN(A258)&gt;0,B258*C258,"")</f>
      </c>
    </row>
    <row r="259" ht="15" customHeight="1" s="4" customFormat="1">
      <c r="A259" s="4" t="str">
        <f>IF(LEN('Open Positions'!B257)&gt;0,'Open Positions'!B257,"")</f>
      </c>
      <c r="B259" s="4" t="str">
        <f>IF(LEN('CALC'!A259)&gt;0,'Open Positions'!F257,"")</f>
      </c>
      <c r="C259" s="39" t="str">
        <f>IF(LEN(A259)&gt;0,'Open Positions'!Q257,"")</f>
      </c>
      <c r="D259" s="29" t="str">
        <f>IF(LEN(A259)&gt;0,B259*C259,"")</f>
      </c>
    </row>
    <row r="260" ht="15" customHeight="1" s="4" customFormat="1">
      <c r="A260" s="4" t="str">
        <f>IF(LEN('Open Positions'!B258)&gt;0,'Open Positions'!B258,"")</f>
      </c>
      <c r="B260" s="4" t="str">
        <f>IF(LEN('CALC'!A260)&gt;0,'Open Positions'!F258,"")</f>
      </c>
      <c r="C260" s="39" t="str">
        <f>IF(LEN(A260)&gt;0,'Open Positions'!Q258,"")</f>
      </c>
      <c r="D260" s="29" t="str">
        <f>IF(LEN(A260)&gt;0,B260*C260,"")</f>
      </c>
    </row>
    <row r="261" ht="15" customHeight="1" s="4" customFormat="1">
      <c r="A261" s="4" t="str">
        <f>IF(LEN('Open Positions'!B259)&gt;0,'Open Positions'!B259,"")</f>
      </c>
      <c r="B261" s="4" t="str">
        <f>IF(LEN('CALC'!A261)&gt;0,'Open Positions'!F259,"")</f>
      </c>
      <c r="C261" s="39" t="str">
        <f>IF(LEN(A261)&gt;0,'Open Positions'!Q259,"")</f>
      </c>
      <c r="D261" s="29" t="str">
        <f>IF(LEN(A261)&gt;0,B261*C261,"")</f>
      </c>
    </row>
    <row r="262" ht="15" customHeight="1" s="4" customFormat="1">
      <c r="A262" s="4" t="str">
        <f>IF(LEN('Open Positions'!B260)&gt;0,'Open Positions'!B260,"")</f>
      </c>
      <c r="B262" s="4" t="str">
        <f>IF(LEN('CALC'!A262)&gt;0,'Open Positions'!F260,"")</f>
      </c>
      <c r="C262" s="39" t="str">
        <f>IF(LEN(A262)&gt;0,'Open Positions'!Q260,"")</f>
      </c>
      <c r="D262" s="29" t="str">
        <f>IF(LEN(A262)&gt;0,B262*C262,"")</f>
      </c>
    </row>
    <row r="263" ht="15" customHeight="1" s="4" customFormat="1">
      <c r="A263" s="4" t="str">
        <f>IF(LEN('Open Positions'!B261)&gt;0,'Open Positions'!B261,"")</f>
      </c>
      <c r="B263" s="4" t="str">
        <f>IF(LEN('CALC'!A263)&gt;0,'Open Positions'!F261,"")</f>
      </c>
      <c r="C263" s="39" t="str">
        <f>IF(LEN(A263)&gt;0,'Open Positions'!Q261,"")</f>
      </c>
      <c r="D263" s="29" t="str">
        <f>IF(LEN(A263)&gt;0,B263*C263,"")</f>
      </c>
    </row>
    <row r="264" ht="15" customHeight="1" s="4" customFormat="1">
      <c r="A264" s="4" t="str">
        <f>IF(LEN('Open Positions'!B262)&gt;0,'Open Positions'!B262,"")</f>
      </c>
      <c r="B264" s="4" t="str">
        <f>IF(LEN('CALC'!A264)&gt;0,'Open Positions'!F262,"")</f>
      </c>
      <c r="C264" s="39" t="str">
        <f>IF(LEN(A264)&gt;0,'Open Positions'!Q262,"")</f>
      </c>
      <c r="D264" s="29" t="str">
        <f>IF(LEN(A264)&gt;0,B264*C264,"")</f>
      </c>
    </row>
    <row r="265" ht="15" customHeight="1" s="4" customFormat="1">
      <c r="A265" s="4" t="str">
        <f>IF(LEN('Open Positions'!B263)&gt;0,'Open Positions'!B263,"")</f>
      </c>
      <c r="B265" s="4" t="str">
        <f>IF(LEN('CALC'!A265)&gt;0,'Open Positions'!F263,"")</f>
      </c>
      <c r="C265" s="39" t="str">
        <f>IF(LEN(A265)&gt;0,'Open Positions'!Q263,"")</f>
      </c>
      <c r="D265" s="29" t="str">
        <f>IF(LEN(A265)&gt;0,B265*C265,"")</f>
      </c>
    </row>
    <row r="266" ht="15" customHeight="1" s="4" customFormat="1">
      <c r="A266" s="4" t="str">
        <f>IF(LEN('Open Positions'!B264)&gt;0,'Open Positions'!B264,"")</f>
      </c>
      <c r="B266" s="4" t="str">
        <f>IF(LEN('CALC'!A266)&gt;0,'Open Positions'!F264,"")</f>
      </c>
      <c r="C266" s="39" t="str">
        <f>IF(LEN(A266)&gt;0,'Open Positions'!Q264,"")</f>
      </c>
      <c r="D266" s="29" t="str">
        <f>IF(LEN(A266)&gt;0,B266*C266,"")</f>
      </c>
    </row>
    <row r="267" ht="15" customHeight="1" s="4" customFormat="1">
      <c r="A267" s="4" t="str">
        <f>IF(LEN('Open Positions'!B265)&gt;0,'Open Positions'!B265,"")</f>
      </c>
      <c r="B267" s="4" t="str">
        <f>IF(LEN('CALC'!A267)&gt;0,'Open Positions'!F265,"")</f>
      </c>
      <c r="C267" s="39" t="str">
        <f>IF(LEN(A267)&gt;0,'Open Positions'!Q265,"")</f>
      </c>
      <c r="D267" s="29" t="str">
        <f>IF(LEN(A267)&gt;0,B267*C267,"")</f>
      </c>
    </row>
    <row r="268" ht="15" customHeight="1" s="4" customFormat="1">
      <c r="A268" s="4" t="str">
        <f>IF(LEN('Open Positions'!B266)&gt;0,'Open Positions'!B266,"")</f>
      </c>
      <c r="B268" s="4" t="str">
        <f>IF(LEN('CALC'!A268)&gt;0,'Open Positions'!F266,"")</f>
      </c>
      <c r="C268" s="39" t="str">
        <f>IF(LEN(A268)&gt;0,'Open Positions'!Q266,"")</f>
      </c>
      <c r="D268" s="29" t="str">
        <f>IF(LEN(A268)&gt;0,B268*C268,"")</f>
      </c>
    </row>
    <row r="269" ht="15" customHeight="1" s="4" customFormat="1">
      <c r="A269" s="4" t="str">
        <f>IF(LEN('Open Positions'!B267)&gt;0,'Open Positions'!B267,"")</f>
      </c>
      <c r="B269" s="4" t="str">
        <f>IF(LEN('CALC'!A269)&gt;0,'Open Positions'!F267,"")</f>
      </c>
      <c r="C269" s="39" t="str">
        <f>IF(LEN(A269)&gt;0,'Open Positions'!Q267,"")</f>
      </c>
      <c r="D269" s="29" t="str">
        <f>IF(LEN(A269)&gt;0,B269*C269,"")</f>
      </c>
    </row>
    <row r="270" ht="15" customHeight="1" s="4" customFormat="1">
      <c r="A270" s="4" t="str">
        <f>IF(LEN('Open Positions'!B268)&gt;0,'Open Positions'!B268,"")</f>
      </c>
      <c r="B270" s="4" t="str">
        <f>IF(LEN('CALC'!A270)&gt;0,'Open Positions'!F268,"")</f>
      </c>
      <c r="C270" s="39" t="str">
        <f>IF(LEN(A270)&gt;0,'Open Positions'!Q268,"")</f>
      </c>
      <c r="D270" s="29" t="str">
        <f>IF(LEN(A270)&gt;0,B270*C270,"")</f>
      </c>
    </row>
    <row r="271" ht="15" customHeight="1" s="4" customFormat="1">
      <c r="A271" s="4" t="str">
        <f>IF(LEN('Open Positions'!B269)&gt;0,'Open Positions'!B269,"")</f>
      </c>
      <c r="B271" s="4" t="str">
        <f>IF(LEN('CALC'!A271)&gt;0,'Open Positions'!F269,"")</f>
      </c>
      <c r="C271" s="39" t="str">
        <f>IF(LEN(A271)&gt;0,'Open Positions'!Q269,"")</f>
      </c>
      <c r="D271" s="29" t="str">
        <f>IF(LEN(A271)&gt;0,B271*C271,"")</f>
      </c>
    </row>
    <row r="272" ht="15" customHeight="1" s="4" customFormat="1">
      <c r="A272" s="4" t="str">
        <f>IF(LEN('Open Positions'!B270)&gt;0,'Open Positions'!B270,"")</f>
      </c>
      <c r="B272" s="4" t="str">
        <f>IF(LEN('CALC'!A272)&gt;0,'Open Positions'!F270,"")</f>
      </c>
      <c r="C272" s="39" t="str">
        <f>IF(LEN(A272)&gt;0,'Open Positions'!Q270,"")</f>
      </c>
      <c r="D272" s="29" t="str">
        <f>IF(LEN(A272)&gt;0,B272*C272,"")</f>
      </c>
    </row>
    <row r="273" ht="15" customHeight="1" s="4" customFormat="1">
      <c r="A273" s="4" t="str">
        <f>IF(LEN('Open Positions'!B271)&gt;0,'Open Positions'!B271,"")</f>
      </c>
      <c r="B273" s="4" t="str">
        <f>IF(LEN('CALC'!A273)&gt;0,'Open Positions'!F271,"")</f>
      </c>
      <c r="C273" s="39" t="str">
        <f>IF(LEN(A273)&gt;0,'Open Positions'!Q271,"")</f>
      </c>
      <c r="D273" s="29" t="str">
        <f>IF(LEN(A273)&gt;0,B273*C273,"")</f>
      </c>
    </row>
    <row r="274" ht="15" customHeight="1" s="4" customFormat="1">
      <c r="A274" s="4" t="str">
        <f>IF(LEN('Open Positions'!B272)&gt;0,'Open Positions'!B272,"")</f>
      </c>
      <c r="B274" s="4" t="str">
        <f>IF(LEN('CALC'!A274)&gt;0,'Open Positions'!F272,"")</f>
      </c>
      <c r="C274" s="39" t="str">
        <f>IF(LEN(A274)&gt;0,'Open Positions'!Q272,"")</f>
      </c>
      <c r="D274" s="29" t="str">
        <f>IF(LEN(A274)&gt;0,B274*C274,"")</f>
      </c>
    </row>
    <row r="275" ht="15" customHeight="1" s="4" customFormat="1">
      <c r="A275" s="4" t="str">
        <f>IF(LEN('Open Positions'!B273)&gt;0,'Open Positions'!B273,"")</f>
      </c>
      <c r="B275" s="4" t="str">
        <f>IF(LEN('CALC'!A275)&gt;0,'Open Positions'!F273,"")</f>
      </c>
      <c r="C275" s="39" t="str">
        <f>IF(LEN(A275)&gt;0,'Open Positions'!Q273,"")</f>
      </c>
      <c r="D275" s="29" t="str">
        <f>IF(LEN(A275)&gt;0,B275*C275,"")</f>
      </c>
    </row>
    <row r="276" ht="15" customHeight="1" s="4" customFormat="1">
      <c r="A276" s="4" t="str">
        <f>IF(LEN('Open Positions'!B274)&gt;0,'Open Positions'!B274,"")</f>
      </c>
      <c r="B276" s="4" t="str">
        <f>IF(LEN('CALC'!A276)&gt;0,'Open Positions'!F274,"")</f>
      </c>
      <c r="C276" s="39" t="str">
        <f>IF(LEN(A276)&gt;0,'Open Positions'!Q274,"")</f>
      </c>
      <c r="D276" s="29" t="str">
        <f>IF(LEN(A276)&gt;0,B276*C276,"")</f>
      </c>
    </row>
    <row r="277" ht="15" customHeight="1" s="4" customFormat="1">
      <c r="A277" s="4" t="str">
        <f>IF(LEN('Open Positions'!B275)&gt;0,'Open Positions'!B275,"")</f>
      </c>
      <c r="B277" s="4" t="str">
        <f>IF(LEN('CALC'!A277)&gt;0,'Open Positions'!F275,"")</f>
      </c>
      <c r="C277" s="39" t="str">
        <f>IF(LEN(A277)&gt;0,'Open Positions'!Q275,"")</f>
      </c>
      <c r="D277" s="29" t="str">
        <f>IF(LEN(A277)&gt;0,B277*C277,"")</f>
      </c>
    </row>
    <row r="278" ht="15" customHeight="1" s="4" customFormat="1">
      <c r="A278" s="4" t="str">
        <f>IF(LEN('Open Positions'!B276)&gt;0,'Open Positions'!B276,"")</f>
      </c>
      <c r="B278" s="4" t="str">
        <f>IF(LEN('CALC'!A278)&gt;0,'Open Positions'!F276,"")</f>
      </c>
      <c r="C278" s="39" t="str">
        <f>IF(LEN(A278)&gt;0,'Open Positions'!Q276,"")</f>
      </c>
      <c r="D278" s="29" t="str">
        <f>IF(LEN(A278)&gt;0,B278*C278,"")</f>
      </c>
    </row>
    <row r="279" ht="15" customHeight="1" s="4" customFormat="1">
      <c r="A279" s="4" t="str">
        <f>IF(LEN('Open Positions'!B277)&gt;0,'Open Positions'!B277,"")</f>
      </c>
      <c r="B279" s="4" t="str">
        <f>IF(LEN('CALC'!A279)&gt;0,'Open Positions'!F277,"")</f>
      </c>
      <c r="C279" s="39" t="str">
        <f>IF(LEN(A279)&gt;0,'Open Positions'!Q277,"")</f>
      </c>
      <c r="D279" s="29" t="str">
        <f>IF(LEN(A279)&gt;0,B279*C279,"")</f>
      </c>
    </row>
    <row r="280" ht="15" customHeight="1" s="4" customFormat="1">
      <c r="A280" s="4" t="str">
        <f>IF(LEN('Open Positions'!B278)&gt;0,'Open Positions'!B278,"")</f>
      </c>
      <c r="B280" s="4" t="str">
        <f>IF(LEN('CALC'!A280)&gt;0,'Open Positions'!F278,"")</f>
      </c>
      <c r="C280" s="39" t="str">
        <f>IF(LEN(A280)&gt;0,'Open Positions'!Q278,"")</f>
      </c>
      <c r="D280" s="29" t="str">
        <f>IF(LEN(A280)&gt;0,B280*C280,"")</f>
      </c>
    </row>
    <row r="281" ht="15" customHeight="1" s="4" customFormat="1">
      <c r="A281" s="4" t="str">
        <f>IF(LEN('Open Positions'!B279)&gt;0,'Open Positions'!B279,"")</f>
      </c>
      <c r="B281" s="4" t="str">
        <f>IF(LEN('CALC'!A281)&gt;0,'Open Positions'!F279,"")</f>
      </c>
      <c r="C281" s="39" t="str">
        <f>IF(LEN(A281)&gt;0,'Open Positions'!Q279,"")</f>
      </c>
      <c r="D281" s="29" t="str">
        <f>IF(LEN(A281)&gt;0,B281*C281,"")</f>
      </c>
    </row>
    <row r="282" ht="15" customHeight="1" s="4" customFormat="1">
      <c r="A282" s="4" t="str">
        <f>IF(LEN('Open Positions'!B280)&gt;0,'Open Positions'!B280,"")</f>
      </c>
      <c r="B282" s="4" t="str">
        <f>IF(LEN('CALC'!A282)&gt;0,'Open Positions'!F280,"")</f>
      </c>
      <c r="C282" s="39" t="str">
        <f>IF(LEN(A282)&gt;0,'Open Positions'!Q280,"")</f>
      </c>
      <c r="D282" s="29" t="str">
        <f>IF(LEN(A282)&gt;0,B282*C282,"")</f>
      </c>
    </row>
    <row r="283" ht="15" customHeight="1" s="4" customFormat="1">
      <c r="A283" s="4" t="str">
        <f>IF(LEN('Open Positions'!B281)&gt;0,'Open Positions'!B281,"")</f>
      </c>
      <c r="B283" s="4" t="str">
        <f>IF(LEN('CALC'!A283)&gt;0,'Open Positions'!F281,"")</f>
      </c>
      <c r="C283" s="39" t="str">
        <f>IF(LEN(A283)&gt;0,'Open Positions'!Q281,"")</f>
      </c>
      <c r="D283" s="29" t="str">
        <f>IF(LEN(A283)&gt;0,B283*C283,"")</f>
      </c>
    </row>
    <row r="284" ht="15" customHeight="1" s="4" customFormat="1">
      <c r="A284" s="4" t="str">
        <f>IF(LEN('Open Positions'!B282)&gt;0,'Open Positions'!B282,"")</f>
      </c>
      <c r="B284" s="4" t="str">
        <f>IF(LEN('CALC'!A284)&gt;0,'Open Positions'!F282,"")</f>
      </c>
      <c r="C284" s="39" t="str">
        <f>IF(LEN(A284)&gt;0,'Open Positions'!Q282,"")</f>
      </c>
      <c r="D284" s="29" t="str">
        <f>IF(LEN(A284)&gt;0,B284*C284,"")</f>
      </c>
    </row>
    <row r="285" ht="15" customHeight="1" s="4" customFormat="1">
      <c r="A285" s="4" t="str">
        <f>IF(LEN('Open Positions'!B283)&gt;0,'Open Positions'!B283,"")</f>
      </c>
      <c r="B285" s="4" t="str">
        <f>IF(LEN('CALC'!A285)&gt;0,'Open Positions'!F283,"")</f>
      </c>
      <c r="C285" s="39" t="str">
        <f>IF(LEN(A285)&gt;0,'Open Positions'!Q283,"")</f>
      </c>
      <c r="D285" s="29" t="str">
        <f>IF(LEN(A285)&gt;0,B285*C285,"")</f>
      </c>
    </row>
    <row r="286" ht="15" customHeight="1" s="4" customFormat="1">
      <c r="A286" s="4" t="str">
        <f>IF(LEN('Open Positions'!B284)&gt;0,'Open Positions'!B284,"")</f>
      </c>
      <c r="B286" s="4" t="str">
        <f>IF(LEN('CALC'!A286)&gt;0,'Open Positions'!F284,"")</f>
      </c>
      <c r="C286" s="39" t="str">
        <f>IF(LEN(A286)&gt;0,'Open Positions'!Q284,"")</f>
      </c>
      <c r="D286" s="29" t="str">
        <f>IF(LEN(A286)&gt;0,B286*C286,"")</f>
      </c>
    </row>
    <row r="287" ht="15" customHeight="1" s="4" customFormat="1">
      <c r="A287" s="4" t="str">
        <f>IF(LEN('Open Positions'!B285)&gt;0,'Open Positions'!B285,"")</f>
      </c>
      <c r="B287" s="4" t="str">
        <f>IF(LEN('CALC'!A287)&gt;0,'Open Positions'!F285,"")</f>
      </c>
      <c r="C287" s="39" t="str">
        <f>IF(LEN(A287)&gt;0,'Open Positions'!Q285,"")</f>
      </c>
      <c r="D287" s="29" t="str">
        <f>IF(LEN(A287)&gt;0,B287*C287,"")</f>
      </c>
    </row>
    <row r="288" ht="15" customHeight="1" s="4" customFormat="1">
      <c r="A288" s="4" t="str">
        <f>IF(LEN('Open Positions'!B286)&gt;0,'Open Positions'!B286,"")</f>
      </c>
      <c r="B288" s="4" t="str">
        <f>IF(LEN('CALC'!A288)&gt;0,'Open Positions'!F286,"")</f>
      </c>
      <c r="C288" s="39" t="str">
        <f>IF(LEN(A288)&gt;0,'Open Positions'!Q286,"")</f>
      </c>
      <c r="D288" s="29" t="str">
        <f>IF(LEN(A288)&gt;0,B288*C288,"")</f>
      </c>
    </row>
    <row r="289" ht="15" customHeight="1" s="4" customFormat="1">
      <c r="A289" s="4" t="str">
        <f>IF(LEN('Open Positions'!B287)&gt;0,'Open Positions'!B287,"")</f>
      </c>
      <c r="B289" s="4" t="str">
        <f>IF(LEN('CALC'!A289)&gt;0,'Open Positions'!F287,"")</f>
      </c>
      <c r="C289" s="39" t="str">
        <f>IF(LEN(A289)&gt;0,'Open Positions'!Q287,"")</f>
      </c>
      <c r="D289" s="29" t="str">
        <f>IF(LEN(A289)&gt;0,B289*C289,"")</f>
      </c>
    </row>
    <row r="290" ht="15" customHeight="1" s="4" customFormat="1">
      <c r="A290" s="4" t="str">
        <f>IF(LEN('Open Positions'!B288)&gt;0,'Open Positions'!B288,"")</f>
      </c>
      <c r="B290" s="4" t="str">
        <f>IF(LEN('CALC'!A290)&gt;0,'Open Positions'!F288,"")</f>
      </c>
      <c r="C290" s="39" t="str">
        <f>IF(LEN(A290)&gt;0,'Open Positions'!Q288,"")</f>
      </c>
      <c r="D290" s="29" t="str">
        <f>IF(LEN(A290)&gt;0,B290*C290,"")</f>
      </c>
    </row>
    <row r="291" ht="15" customHeight="1" s="4" customFormat="1">
      <c r="A291" s="4" t="str">
        <f>IF(LEN('Open Positions'!B289)&gt;0,'Open Positions'!B289,"")</f>
      </c>
      <c r="B291" s="4" t="str">
        <f>IF(LEN('CALC'!A291)&gt;0,'Open Positions'!F289,"")</f>
      </c>
      <c r="C291" s="39" t="str">
        <f>IF(LEN(A291)&gt;0,'Open Positions'!Q289,"")</f>
      </c>
      <c r="D291" s="29" t="str">
        <f>IF(LEN(A291)&gt;0,B291*C291,"")</f>
      </c>
    </row>
    <row r="292" ht="15" customHeight="1" s="4" customFormat="1">
      <c r="A292" s="4" t="str">
        <f>IF(LEN('Open Positions'!B290)&gt;0,'Open Positions'!B290,"")</f>
      </c>
      <c r="B292" s="4" t="str">
        <f>IF(LEN('CALC'!A292)&gt;0,'Open Positions'!F290,"")</f>
      </c>
      <c r="C292" s="39" t="str">
        <f>IF(LEN(A292)&gt;0,'Open Positions'!Q290,"")</f>
      </c>
      <c r="D292" s="29" t="str">
        <f>IF(LEN(A292)&gt;0,B292*C292,"")</f>
      </c>
    </row>
    <row r="293" ht="15" customHeight="1" s="4" customFormat="1">
      <c r="A293" s="4" t="str">
        <f>IF(LEN('Open Positions'!B291)&gt;0,'Open Positions'!B291,"")</f>
      </c>
      <c r="B293" s="4" t="str">
        <f>IF(LEN('CALC'!A293)&gt;0,'Open Positions'!F291,"")</f>
      </c>
      <c r="C293" s="39" t="str">
        <f>IF(LEN(A293)&gt;0,'Open Positions'!Q291,"")</f>
      </c>
      <c r="D293" s="29" t="str">
        <f>IF(LEN(A293)&gt;0,B293*C293,"")</f>
      </c>
    </row>
    <row r="294" ht="15" customHeight="1" s="4" customFormat="1">
      <c r="A294" s="4" t="str">
        <f>IF(LEN('Open Positions'!B292)&gt;0,'Open Positions'!B292,"")</f>
      </c>
      <c r="B294" s="4" t="str">
        <f>IF(LEN('CALC'!A294)&gt;0,'Open Positions'!F292,"")</f>
      </c>
      <c r="C294" s="39" t="str">
        <f>IF(LEN(A294)&gt;0,'Open Positions'!Q292,"")</f>
      </c>
      <c r="D294" s="29" t="str">
        <f>IF(LEN(A294)&gt;0,B294*C294,"")</f>
      </c>
    </row>
    <row r="295" ht="15" customHeight="1" s="4" customFormat="1">
      <c r="A295" s="4" t="str">
        <f>IF(LEN('Open Positions'!B293)&gt;0,'Open Positions'!B293,"")</f>
      </c>
      <c r="B295" s="4" t="str">
        <f>IF(LEN('CALC'!A295)&gt;0,'Open Positions'!F293,"")</f>
      </c>
      <c r="C295" s="39" t="str">
        <f>IF(LEN(A295)&gt;0,'Open Positions'!Q293,"")</f>
      </c>
      <c r="D295" s="29" t="str">
        <f>IF(LEN(A295)&gt;0,B295*C295,"")</f>
      </c>
    </row>
    <row r="296" ht="15" customHeight="1" s="4" customFormat="1">
      <c r="A296" s="4" t="str">
        <f>IF(LEN('Open Positions'!B294)&gt;0,'Open Positions'!B294,"")</f>
      </c>
      <c r="B296" s="4" t="str">
        <f>IF(LEN('CALC'!A296)&gt;0,'Open Positions'!F294,"")</f>
      </c>
      <c r="C296" s="39" t="str">
        <f>IF(LEN(A296)&gt;0,'Open Positions'!Q294,"")</f>
      </c>
      <c r="D296" s="29" t="str">
        <f>IF(LEN(A296)&gt;0,B296*C296,"")</f>
      </c>
    </row>
    <row r="297" ht="15" customHeight="1" s="4" customFormat="1">
      <c r="A297" s="4" t="str">
        <f>IF(LEN('Open Positions'!B295)&gt;0,'Open Positions'!B295,"")</f>
      </c>
      <c r="B297" s="4" t="str">
        <f>IF(LEN('CALC'!A297)&gt;0,'Open Positions'!F295,"")</f>
      </c>
      <c r="C297" s="39" t="str">
        <f>IF(LEN(A297)&gt;0,'Open Positions'!Q295,"")</f>
      </c>
      <c r="D297" s="29" t="str">
        <f>IF(LEN(A297)&gt;0,B297*C297,"")</f>
      </c>
    </row>
    <row r="298" ht="15" customHeight="1" s="4" customFormat="1">
      <c r="A298" s="4" t="str">
        <f>IF(LEN('Open Positions'!B296)&gt;0,'Open Positions'!B296,"")</f>
      </c>
      <c r="B298" s="4" t="str">
        <f>IF(LEN('CALC'!A298)&gt;0,'Open Positions'!F296,"")</f>
      </c>
      <c r="C298" s="39" t="str">
        <f>IF(LEN(A298)&gt;0,'Open Positions'!Q296,"")</f>
      </c>
      <c r="D298" s="29" t="str">
        <f>IF(LEN(A298)&gt;0,B298*C298,"")</f>
      </c>
    </row>
    <row r="299" ht="15" customHeight="1" s="4" customFormat="1">
      <c r="A299" s="4" t="str">
        <f>IF(LEN('Open Positions'!B297)&gt;0,'Open Positions'!B297,"")</f>
      </c>
      <c r="B299" s="4" t="str">
        <f>IF(LEN('CALC'!A299)&gt;0,'Open Positions'!F297,"")</f>
      </c>
      <c r="C299" s="39" t="str">
        <f>IF(LEN(A299)&gt;0,'Open Positions'!Q297,"")</f>
      </c>
      <c r="D299" s="29" t="str">
        <f>IF(LEN(A299)&gt;0,B299*C299,"")</f>
      </c>
    </row>
    <row r="300" ht="15" customHeight="1" s="4" customFormat="1">
      <c r="A300" s="4" t="str">
        <f>IF(LEN('Open Positions'!B298)&gt;0,'Open Positions'!B298,"")</f>
      </c>
      <c r="B300" s="4" t="str">
        <f>IF(LEN('CALC'!A300)&gt;0,'Open Positions'!F298,"")</f>
      </c>
      <c r="C300" s="39" t="str">
        <f>IF(LEN(A300)&gt;0,'Open Positions'!Q298,"")</f>
      </c>
      <c r="D300" s="29" t="str">
        <f>IF(LEN(A300)&gt;0,B300*C300,"")</f>
      </c>
    </row>
    <row r="301" ht="15" customHeight="1" s="4" customFormat="1">
      <c r="A301" s="4" t="str">
        <f>IF(LEN('Open Positions'!B299)&gt;0,'Open Positions'!B299,"")</f>
      </c>
      <c r="B301" s="4" t="str">
        <f>IF(LEN('CALC'!A301)&gt;0,'Open Positions'!F299,"")</f>
      </c>
      <c r="C301" s="39" t="str">
        <f>IF(LEN(A301)&gt;0,'Open Positions'!Q299,"")</f>
      </c>
      <c r="D301" s="29" t="str">
        <f>IF(LEN(A301)&gt;0,B301*C301,"")</f>
      </c>
    </row>
    <row r="302" ht="15" customHeight="1" s="4" customFormat="1">
      <c r="A302" s="4" t="str">
        <f>IF(LEN('Open Positions'!B300)&gt;0,'Open Positions'!B300,"")</f>
      </c>
      <c r="B302" s="4" t="str">
        <f>IF(LEN('CALC'!A302)&gt;0,'Open Positions'!F300,"")</f>
      </c>
      <c r="C302" s="39" t="str">
        <f>IF(LEN(A302)&gt;0,'Open Positions'!Q300,"")</f>
      </c>
      <c r="D302" s="29" t="str">
        <f>IF(LEN(A302)&gt;0,B302*C302,"")</f>
      </c>
    </row>
    <row r="303" ht="15" customHeight="1" s="4" customFormat="1">
      <c r="A303" s="4" t="str">
        <f>IF(LEN('Open Positions'!B301)&gt;0,'Open Positions'!B301,"")</f>
      </c>
      <c r="B303" s="4" t="str">
        <f>IF(LEN('CALC'!A303)&gt;0,'Open Positions'!F301,"")</f>
      </c>
      <c r="C303" s="39" t="str">
        <f>IF(LEN(A303)&gt;0,'Open Positions'!Q301,"")</f>
      </c>
      <c r="D303" s="29" t="str">
        <f>IF(LEN(A303)&gt;0,B303*C303,"")</f>
      </c>
    </row>
    <row r="304" ht="15" customHeight="1" s="4" customFormat="1">
      <c r="A304" s="4" t="str">
        <f>IF(LEN('Open Positions'!B302)&gt;0,'Open Positions'!B302,"")</f>
      </c>
      <c r="B304" s="4" t="str">
        <f>IF(LEN('CALC'!A304)&gt;0,'Open Positions'!F302,"")</f>
      </c>
      <c r="C304" s="39" t="str">
        <f>IF(LEN(A304)&gt;0,'Open Positions'!Q302,"")</f>
      </c>
      <c r="D304" s="29" t="str">
        <f>IF(LEN(A304)&gt;0,B304*C304,"")</f>
      </c>
    </row>
    <row r="305" ht="15" customHeight="1" s="4" customFormat="1">
      <c r="A305" s="4" t="str">
        <f>IF(LEN('Open Positions'!B303)&gt;0,'Open Positions'!B303,"")</f>
      </c>
      <c r="B305" s="4" t="str">
        <f>IF(LEN('CALC'!A305)&gt;0,'Open Positions'!F303,"")</f>
      </c>
      <c r="C305" s="39" t="str">
        <f>IF(LEN(A305)&gt;0,'Open Positions'!Q303,"")</f>
      </c>
      <c r="D305" s="29" t="str">
        <f>IF(LEN(A305)&gt;0,B305*C305,"")</f>
      </c>
    </row>
    <row r="306" ht="15" customHeight="1" s="4" customFormat="1">
      <c r="A306" s="4" t="str">
        <f>IF(LEN('Open Positions'!B304)&gt;0,'Open Positions'!B304,"")</f>
      </c>
      <c r="B306" s="4" t="str">
        <f>IF(LEN('CALC'!A306)&gt;0,'Open Positions'!F304,"")</f>
      </c>
      <c r="C306" s="39" t="str">
        <f>IF(LEN(A306)&gt;0,'Open Positions'!Q304,"")</f>
      </c>
      <c r="D306" s="29" t="str">
        <f>IF(LEN(A306)&gt;0,B306*C306,"")</f>
      </c>
    </row>
    <row r="307" ht="15" customHeight="1" s="4" customFormat="1">
      <c r="A307" s="4" t="str">
        <f>IF(LEN('Open Positions'!B305)&gt;0,'Open Positions'!B305,"")</f>
      </c>
      <c r="B307" s="4" t="str">
        <f>IF(LEN('CALC'!A307)&gt;0,'Open Positions'!F305,"")</f>
      </c>
      <c r="C307" s="39" t="str">
        <f>IF(LEN(A307)&gt;0,'Open Positions'!Q305,"")</f>
      </c>
      <c r="D307" s="29" t="str">
        <f>IF(LEN(A307)&gt;0,B307*C307,"")</f>
      </c>
    </row>
    <row r="308" ht="15" customHeight="1" s="4" customFormat="1">
      <c r="A308" s="4" t="str">
        <f>IF(LEN('Open Positions'!B306)&gt;0,'Open Positions'!B306,"")</f>
      </c>
      <c r="B308" s="4" t="str">
        <f>IF(LEN('CALC'!A308)&gt;0,'Open Positions'!F306,"")</f>
      </c>
      <c r="C308" s="39" t="str">
        <f>IF(LEN(A308)&gt;0,'Open Positions'!Q306,"")</f>
      </c>
      <c r="D308" s="29" t="str">
        <f>IF(LEN(A308)&gt;0,B308*C308,"")</f>
      </c>
    </row>
    <row r="309" ht="15" customHeight="1" s="4" customFormat="1">
      <c r="A309" s="4" t="str">
        <f>IF(LEN('Open Positions'!B307)&gt;0,'Open Positions'!B307,"")</f>
      </c>
      <c r="B309" s="4" t="str">
        <f>IF(LEN('CALC'!A309)&gt;0,'Open Positions'!F307,"")</f>
      </c>
      <c r="C309" s="39" t="str">
        <f>IF(LEN(A309)&gt;0,'Open Positions'!Q307,"")</f>
      </c>
      <c r="D309" s="29" t="str">
        <f>IF(LEN(A309)&gt;0,B309*C309,"")</f>
      </c>
    </row>
    <row r="310" ht="15" customHeight="1" s="4" customFormat="1">
      <c r="A310" s="4" t="str">
        <f>IF(LEN('Open Positions'!B308)&gt;0,'Open Positions'!B308,"")</f>
      </c>
      <c r="B310" s="4" t="str">
        <f>IF(LEN('CALC'!A310)&gt;0,'Open Positions'!F308,"")</f>
      </c>
      <c r="C310" s="39" t="str">
        <f>IF(LEN(A310)&gt;0,'Open Positions'!Q308,"")</f>
      </c>
      <c r="D310" s="29" t="str">
        <f>IF(LEN(A310)&gt;0,B310*C310,"")</f>
      </c>
    </row>
    <row r="311" ht="15" customHeight="1" s="4" customFormat="1">
      <c r="A311" s="4" t="str">
        <f>IF(LEN('Open Positions'!B309)&gt;0,'Open Positions'!B309,"")</f>
      </c>
      <c r="B311" s="4" t="str">
        <f>IF(LEN('CALC'!A311)&gt;0,'Open Positions'!F309,"")</f>
      </c>
      <c r="C311" s="39" t="str">
        <f>IF(LEN(A311)&gt;0,'Open Positions'!Q309,"")</f>
      </c>
      <c r="D311" s="29" t="str">
        <f>IF(LEN(A311)&gt;0,B311*C311,"")</f>
      </c>
    </row>
    <row r="312" ht="15" customHeight="1" s="4" customFormat="1">
      <c r="A312" s="4" t="str">
        <f>IF(LEN('Open Positions'!B310)&gt;0,'Open Positions'!B310,"")</f>
      </c>
      <c r="B312" s="4" t="str">
        <f>IF(LEN('CALC'!A312)&gt;0,'Open Positions'!F310,"")</f>
      </c>
      <c r="C312" s="39" t="str">
        <f>IF(LEN(A312)&gt;0,'Open Positions'!Q310,"")</f>
      </c>
      <c r="D312" s="29" t="str">
        <f>IF(LEN(A312)&gt;0,B312*C312,"")</f>
      </c>
    </row>
    <row r="313" ht="15" customHeight="1" s="4" customFormat="1">
      <c r="A313" s="4" t="str">
        <f>IF(LEN('Open Positions'!B311)&gt;0,'Open Positions'!B311,"")</f>
      </c>
      <c r="B313" s="4" t="str">
        <f>IF(LEN('CALC'!A313)&gt;0,'Open Positions'!F311,"")</f>
      </c>
      <c r="C313" s="39" t="str">
        <f>IF(LEN(A313)&gt;0,'Open Positions'!Q311,"")</f>
      </c>
      <c r="D313" s="29" t="str">
        <f>IF(LEN(A313)&gt;0,B313*C313,"")</f>
      </c>
    </row>
    <row r="314" ht="15" customHeight="1" s="4" customFormat="1">
      <c r="A314" s="4" t="str">
        <f>IF(LEN('Open Positions'!B312)&gt;0,'Open Positions'!B312,"")</f>
      </c>
      <c r="B314" s="4" t="str">
        <f>IF(LEN('CALC'!A314)&gt;0,'Open Positions'!F312,"")</f>
      </c>
      <c r="C314" s="39" t="str">
        <f>IF(LEN(A314)&gt;0,'Open Positions'!Q312,"")</f>
      </c>
      <c r="D314" s="29" t="str">
        <f>IF(LEN(A314)&gt;0,B314*C314,"")</f>
      </c>
    </row>
    <row r="315" ht="15" customHeight="1" s="4" customFormat="1">
      <c r="A315" s="4" t="str">
        <f>IF(LEN('Open Positions'!B313)&gt;0,'Open Positions'!B313,"")</f>
      </c>
      <c r="B315" s="4" t="str">
        <f>IF(LEN('CALC'!A315)&gt;0,'Open Positions'!F313,"")</f>
      </c>
      <c r="C315" s="39" t="str">
        <f>IF(LEN(A315)&gt;0,'Open Positions'!Q313,"")</f>
      </c>
      <c r="D315" s="29" t="str">
        <f>IF(LEN(A315)&gt;0,B315*C315,"")</f>
      </c>
    </row>
    <row r="316" ht="15" customHeight="1" s="4" customFormat="1">
      <c r="A316" s="4" t="str">
        <f>IF(LEN('Open Positions'!B314)&gt;0,'Open Positions'!B314,"")</f>
      </c>
      <c r="B316" s="4" t="str">
        <f>IF(LEN('CALC'!A316)&gt;0,'Open Positions'!F314,"")</f>
      </c>
      <c r="C316" s="39" t="str">
        <f>IF(LEN(A316)&gt;0,'Open Positions'!Q314,"")</f>
      </c>
      <c r="D316" s="29" t="str">
        <f>IF(LEN(A316)&gt;0,B316*C316,"")</f>
      </c>
    </row>
    <row r="317" ht="15" customHeight="1" s="4" customFormat="1">
      <c r="A317" s="4" t="str">
        <f>IF(LEN('Open Positions'!B315)&gt;0,'Open Positions'!B315,"")</f>
      </c>
      <c r="B317" s="4" t="str">
        <f>IF(LEN('CALC'!A317)&gt;0,'Open Positions'!F315,"")</f>
      </c>
      <c r="C317" s="39" t="str">
        <f>IF(LEN(A317)&gt;0,'Open Positions'!Q315,"")</f>
      </c>
      <c r="D317" s="29" t="str">
        <f>IF(LEN(A317)&gt;0,B317*C317,"")</f>
      </c>
    </row>
    <row r="318" ht="15" customHeight="1" s="4" customFormat="1">
      <c r="A318" s="4" t="str">
        <f>IF(LEN('Open Positions'!B316)&gt;0,'Open Positions'!B316,"")</f>
      </c>
      <c r="B318" s="4" t="str">
        <f>IF(LEN('CALC'!A318)&gt;0,'Open Positions'!F316,"")</f>
      </c>
      <c r="C318" s="39" t="str">
        <f>IF(LEN(A318)&gt;0,'Open Positions'!Q316,"")</f>
      </c>
      <c r="D318" s="29" t="str">
        <f>IF(LEN(A318)&gt;0,B318*C318,"")</f>
      </c>
    </row>
    <row r="319" ht="15" customHeight="1" s="4" customFormat="1">
      <c r="A319" s="4" t="str">
        <f>IF(LEN('Open Positions'!B317)&gt;0,'Open Positions'!B317,"")</f>
      </c>
      <c r="B319" s="4" t="str">
        <f>IF(LEN('CALC'!A319)&gt;0,'Open Positions'!F317,"")</f>
      </c>
      <c r="C319" s="39" t="str">
        <f>IF(LEN(A319)&gt;0,'Open Positions'!Q317,"")</f>
      </c>
      <c r="D319" s="29" t="str">
        <f>IF(LEN(A319)&gt;0,B319*C319,"")</f>
      </c>
    </row>
    <row r="320" ht="15" customHeight="1" s="4" customFormat="1">
      <c r="A320" s="4" t="str">
        <f>IF(LEN('Open Positions'!B318)&gt;0,'Open Positions'!B318,"")</f>
      </c>
      <c r="B320" s="4" t="str">
        <f>IF(LEN('CALC'!A320)&gt;0,'Open Positions'!F318,"")</f>
      </c>
      <c r="C320" s="39" t="str">
        <f>IF(LEN(A320)&gt;0,'Open Positions'!Q318,"")</f>
      </c>
      <c r="D320" s="29" t="str">
        <f>IF(LEN(A320)&gt;0,B320*C320,"")</f>
      </c>
    </row>
    <row r="321" ht="15" customHeight="1" s="4" customFormat="1">
      <c r="A321" s="4" t="str">
        <f>IF(LEN('Open Positions'!B319)&gt;0,'Open Positions'!B319,"")</f>
      </c>
      <c r="B321" s="4" t="str">
        <f>IF(LEN('CALC'!A321)&gt;0,'Open Positions'!F319,"")</f>
      </c>
      <c r="C321" s="39" t="str">
        <f>IF(LEN(A321)&gt;0,'Open Positions'!Q319,"")</f>
      </c>
      <c r="D321" s="29" t="str">
        <f>IF(LEN(A321)&gt;0,B321*C321,"")</f>
      </c>
    </row>
    <row r="322" ht="15" customHeight="1" s="4" customFormat="1">
      <c r="A322" s="4" t="str">
        <f>IF(LEN('Open Positions'!B320)&gt;0,'Open Positions'!B320,"")</f>
      </c>
      <c r="B322" s="4" t="str">
        <f>IF(LEN('CALC'!A322)&gt;0,'Open Positions'!F320,"")</f>
      </c>
      <c r="C322" s="39" t="str">
        <f>IF(LEN(A322)&gt;0,'Open Positions'!Q320,"")</f>
      </c>
      <c r="D322" s="29" t="str">
        <f>IF(LEN(A322)&gt;0,B322*C322,"")</f>
      </c>
    </row>
    <row r="323" ht="15" customHeight="1" s="4" customFormat="1">
      <c r="A323" s="4" t="str">
        <f>IF(LEN('Open Positions'!B321)&gt;0,'Open Positions'!B321,"")</f>
      </c>
      <c r="B323" s="4" t="str">
        <f>IF(LEN('CALC'!A323)&gt;0,'Open Positions'!F321,"")</f>
      </c>
      <c r="C323" s="39" t="str">
        <f>IF(LEN(A323)&gt;0,'Open Positions'!Q321,"")</f>
      </c>
      <c r="D323" s="29" t="str">
        <f>IF(LEN(A323)&gt;0,B323*C323,"")</f>
      </c>
    </row>
    <row r="324" ht="15" customHeight="1" s="4" customFormat="1">
      <c r="A324" s="4" t="str">
        <f>IF(LEN('Open Positions'!B322)&gt;0,'Open Positions'!B322,"")</f>
      </c>
      <c r="B324" s="4" t="str">
        <f>IF(LEN('CALC'!A324)&gt;0,'Open Positions'!F322,"")</f>
      </c>
      <c r="C324" s="39" t="str">
        <f>IF(LEN(A324)&gt;0,'Open Positions'!Q322,"")</f>
      </c>
      <c r="D324" s="29" t="str">
        <f>IF(LEN(A324)&gt;0,B324*C324,"")</f>
      </c>
    </row>
    <row r="325" ht="15" customHeight="1" s="4" customFormat="1">
      <c r="A325" s="4" t="str">
        <f>IF(LEN('Open Positions'!B323)&gt;0,'Open Positions'!B323,"")</f>
      </c>
      <c r="B325" s="4" t="str">
        <f>IF(LEN('CALC'!A325)&gt;0,'Open Positions'!F323,"")</f>
      </c>
      <c r="C325" s="39" t="str">
        <f>IF(LEN(A325)&gt;0,'Open Positions'!Q323,"")</f>
      </c>
      <c r="D325" s="29" t="str">
        <f>IF(LEN(A325)&gt;0,B325*C325,"")</f>
      </c>
    </row>
    <row r="326" ht="15" customHeight="1" s="4" customFormat="1">
      <c r="A326" s="4" t="str">
        <f>IF(LEN('Open Positions'!B324)&gt;0,'Open Positions'!B324,"")</f>
      </c>
      <c r="B326" s="4" t="str">
        <f>IF(LEN('CALC'!A326)&gt;0,'Open Positions'!F324,"")</f>
      </c>
      <c r="C326" s="39" t="str">
        <f>IF(LEN(A326)&gt;0,'Open Positions'!Q324,"")</f>
      </c>
      <c r="D326" s="29" t="str">
        <f>IF(LEN(A326)&gt;0,B326*C326,"")</f>
      </c>
    </row>
    <row r="327" ht="15" customHeight="1" s="4" customFormat="1">
      <c r="A327" s="4" t="str">
        <f>IF(LEN('Open Positions'!B325)&gt;0,'Open Positions'!B325,"")</f>
      </c>
      <c r="B327" s="4" t="str">
        <f>IF(LEN('CALC'!A327)&gt;0,'Open Positions'!F325,"")</f>
      </c>
      <c r="C327" s="39" t="str">
        <f>IF(LEN(A327)&gt;0,'Open Positions'!Q325,"")</f>
      </c>
      <c r="D327" s="29" t="str">
        <f>IF(LEN(A327)&gt;0,B327*C327,"")</f>
      </c>
    </row>
    <row r="328" ht="15" customHeight="1" s="4" customFormat="1">
      <c r="A328" s="4" t="str">
        <f>IF(LEN('Open Positions'!B326)&gt;0,'Open Positions'!B326,"")</f>
      </c>
      <c r="B328" s="4" t="str">
        <f>IF(LEN('CALC'!A328)&gt;0,'Open Positions'!F326,"")</f>
      </c>
      <c r="C328" s="39" t="str">
        <f>IF(LEN(A328)&gt;0,'Open Positions'!Q326,"")</f>
      </c>
      <c r="D328" s="29" t="str">
        <f>IF(LEN(A328)&gt;0,B328*C328,"")</f>
      </c>
    </row>
    <row r="329" ht="15" customHeight="1" s="4" customFormat="1">
      <c r="A329" s="4" t="str">
        <f>IF(LEN('Open Positions'!B327)&gt;0,'Open Positions'!B327,"")</f>
      </c>
      <c r="B329" s="4" t="str">
        <f>IF(LEN('CALC'!A329)&gt;0,'Open Positions'!F327,"")</f>
      </c>
      <c r="C329" s="39" t="str">
        <f>IF(LEN(A329)&gt;0,'Open Positions'!Q327,"")</f>
      </c>
      <c r="D329" s="29" t="str">
        <f>IF(LEN(A329)&gt;0,B329*C329,"")</f>
      </c>
    </row>
    <row r="330" ht="15" customHeight="1" s="4" customFormat="1">
      <c r="A330" s="4" t="str">
        <f>IF(LEN('Open Positions'!B328)&gt;0,'Open Positions'!B328,"")</f>
      </c>
      <c r="B330" s="4" t="str">
        <f>IF(LEN('CALC'!A330)&gt;0,'Open Positions'!F328,"")</f>
      </c>
      <c r="C330" s="39" t="str">
        <f>IF(LEN(A330)&gt;0,'Open Positions'!Q328,"")</f>
      </c>
      <c r="D330" s="29" t="str">
        <f>IF(LEN(A330)&gt;0,B330*C330,"")</f>
      </c>
    </row>
    <row r="331" ht="15" customHeight="1" s="4" customFormat="1">
      <c r="A331" s="4" t="str">
        <f>IF(LEN('Open Positions'!B329)&gt;0,'Open Positions'!B329,"")</f>
      </c>
      <c r="B331" s="4" t="str">
        <f>IF(LEN('CALC'!A331)&gt;0,'Open Positions'!F329,"")</f>
      </c>
      <c r="C331" s="39" t="str">
        <f>IF(LEN(A331)&gt;0,'Open Positions'!Q329,"")</f>
      </c>
      <c r="D331" s="29" t="str">
        <f>IF(LEN(A331)&gt;0,B331*C331,"")</f>
      </c>
    </row>
    <row r="332" ht="15" customHeight="1" s="4" customFormat="1">
      <c r="A332" s="4" t="str">
        <f>IF(LEN('Open Positions'!B330)&gt;0,'Open Positions'!B330,"")</f>
      </c>
      <c r="B332" s="4" t="str">
        <f>IF(LEN('CALC'!A332)&gt;0,'Open Positions'!F330,"")</f>
      </c>
      <c r="C332" s="39" t="str">
        <f>IF(LEN(A332)&gt;0,'Open Positions'!Q330,"")</f>
      </c>
      <c r="D332" s="29" t="str">
        <f>IF(LEN(A332)&gt;0,B332*C332,"")</f>
      </c>
    </row>
    <row r="333" ht="15" customHeight="1" s="4" customFormat="1">
      <c r="A333" s="4" t="str">
        <f>IF(LEN('Open Positions'!B331)&gt;0,'Open Positions'!B331,"")</f>
      </c>
      <c r="B333" s="4" t="str">
        <f>IF(LEN('CALC'!A333)&gt;0,'Open Positions'!F331,"")</f>
      </c>
      <c r="C333" s="39" t="str">
        <f>IF(LEN(A333)&gt;0,'Open Positions'!Q331,"")</f>
      </c>
      <c r="D333" s="29" t="str">
        <f>IF(LEN(A333)&gt;0,B333*C333,"")</f>
      </c>
    </row>
    <row r="334" ht="15" customHeight="1" s="4" customFormat="1">
      <c r="A334" s="4" t="str">
        <f>IF(LEN('Open Positions'!B332)&gt;0,'Open Positions'!B332,"")</f>
      </c>
      <c r="B334" s="4" t="str">
        <f>IF(LEN('CALC'!A334)&gt;0,'Open Positions'!F332,"")</f>
      </c>
      <c r="C334" s="39" t="str">
        <f>IF(LEN(A334)&gt;0,'Open Positions'!Q332,"")</f>
      </c>
      <c r="D334" s="29" t="str">
        <f>IF(LEN(A334)&gt;0,B334*C334,"")</f>
      </c>
    </row>
    <row r="335" ht="15" customHeight="1" s="4" customFormat="1">
      <c r="A335" s="4" t="str">
        <f>IF(LEN('Open Positions'!B333)&gt;0,'Open Positions'!B333,"")</f>
      </c>
      <c r="B335" s="4" t="str">
        <f>IF(LEN('CALC'!A335)&gt;0,'Open Positions'!F333,"")</f>
      </c>
      <c r="C335" s="39" t="str">
        <f>IF(LEN(A335)&gt;0,'Open Positions'!Q333,"")</f>
      </c>
      <c r="D335" s="29" t="str">
        <f>IF(LEN(A335)&gt;0,B335*C335,"")</f>
      </c>
    </row>
    <row r="336" ht="15" customHeight="1" s="4" customFormat="1">
      <c r="A336" s="4" t="str">
        <f>IF(LEN('Open Positions'!B334)&gt;0,'Open Positions'!B334,"")</f>
      </c>
      <c r="B336" s="4" t="str">
        <f>IF(LEN('CALC'!A336)&gt;0,'Open Positions'!F334,"")</f>
      </c>
      <c r="C336" s="39" t="str">
        <f>IF(LEN(A336)&gt;0,'Open Positions'!Q334,"")</f>
      </c>
      <c r="D336" s="29" t="str">
        <f>IF(LEN(A336)&gt;0,B336*C336,"")</f>
      </c>
    </row>
    <row r="337" ht="15" customHeight="1" s="4" customFormat="1">
      <c r="A337" s="4" t="str">
        <f>IF(LEN('Open Positions'!B335)&gt;0,'Open Positions'!B335,"")</f>
      </c>
      <c r="B337" s="4" t="str">
        <f>IF(LEN('CALC'!A337)&gt;0,'Open Positions'!F335,"")</f>
      </c>
      <c r="C337" s="39" t="str">
        <f>IF(LEN(A337)&gt;0,'Open Positions'!Q335,"")</f>
      </c>
      <c r="D337" s="29" t="str">
        <f>IF(LEN(A337)&gt;0,B337*C337,"")</f>
      </c>
    </row>
    <row r="338" ht="15" customHeight="1" s="4" customFormat="1">
      <c r="A338" s="4" t="str">
        <f>IF(LEN('Open Positions'!B336)&gt;0,'Open Positions'!B336,"")</f>
      </c>
      <c r="B338" s="4" t="str">
        <f>IF(LEN('CALC'!A338)&gt;0,'Open Positions'!F336,"")</f>
      </c>
      <c r="C338" s="39" t="str">
        <f>IF(LEN(A338)&gt;0,'Open Positions'!Q336,"")</f>
      </c>
      <c r="D338" s="29" t="str">
        <f>IF(LEN(A338)&gt;0,B338*C338,"")</f>
      </c>
    </row>
    <row r="339" ht="15" customHeight="1" s="4" customFormat="1">
      <c r="A339" s="4" t="str">
        <f>IF(LEN('Open Positions'!B337)&gt;0,'Open Positions'!B337,"")</f>
      </c>
      <c r="B339" s="4" t="str">
        <f>IF(LEN('CALC'!A339)&gt;0,'Open Positions'!F337,"")</f>
      </c>
      <c r="C339" s="39" t="str">
        <f>IF(LEN(A339)&gt;0,'Open Positions'!Q337,"")</f>
      </c>
      <c r="D339" s="29" t="str">
        <f>IF(LEN(A339)&gt;0,B339*C339,"")</f>
      </c>
    </row>
    <row r="340" ht="15" customHeight="1" s="4" customFormat="1">
      <c r="A340" s="4" t="str">
        <f>IF(LEN('Open Positions'!B338)&gt;0,'Open Positions'!B338,"")</f>
      </c>
      <c r="B340" s="4" t="str">
        <f>IF(LEN('CALC'!A340)&gt;0,'Open Positions'!F338,"")</f>
      </c>
      <c r="C340" s="39" t="str">
        <f>IF(LEN(A340)&gt;0,'Open Positions'!Q338,"")</f>
      </c>
      <c r="D340" s="29" t="str">
        <f>IF(LEN(A340)&gt;0,B340*C340,"")</f>
      </c>
    </row>
    <row r="341" ht="15" customHeight="1" s="4" customFormat="1">
      <c r="A341" s="4" t="str">
        <f>IF(LEN('Open Positions'!B339)&gt;0,'Open Positions'!B339,"")</f>
      </c>
      <c r="B341" s="4" t="str">
        <f>IF(LEN('CALC'!A341)&gt;0,'Open Positions'!F339,"")</f>
      </c>
      <c r="C341" s="39" t="str">
        <f>IF(LEN(A341)&gt;0,'Open Positions'!Q339,"")</f>
      </c>
      <c r="D341" s="29" t="str">
        <f>IF(LEN(A341)&gt;0,B341*C341,"")</f>
      </c>
    </row>
    <row r="342" ht="15" customHeight="1" s="4" customFormat="1">
      <c r="A342" s="4" t="str">
        <f>IF(LEN('Open Positions'!B340)&gt;0,'Open Positions'!B340,"")</f>
      </c>
      <c r="B342" s="4" t="str">
        <f>IF(LEN('CALC'!A342)&gt;0,'Open Positions'!F340,"")</f>
      </c>
      <c r="C342" s="39" t="str">
        <f>IF(LEN(A342)&gt;0,'Open Positions'!Q340,"")</f>
      </c>
      <c r="D342" s="29" t="str">
        <f>IF(LEN(A342)&gt;0,B342*C342,"")</f>
      </c>
    </row>
    <row r="343" ht="15" customHeight="1" s="4" customFormat="1">
      <c r="A343" s="4" t="str">
        <f>IF(LEN('Open Positions'!B341)&gt;0,'Open Positions'!B341,"")</f>
      </c>
      <c r="B343" s="4" t="str">
        <f>IF(LEN('CALC'!A343)&gt;0,'Open Positions'!F341,"")</f>
      </c>
      <c r="C343" s="39" t="str">
        <f>IF(LEN(A343)&gt;0,'Open Positions'!Q341,"")</f>
      </c>
      <c r="D343" s="29" t="str">
        <f>IF(LEN(A343)&gt;0,B343*C343,"")</f>
      </c>
    </row>
    <row r="344" ht="15" customHeight="1" s="4" customFormat="1">
      <c r="A344" s="4" t="str">
        <f>IF(LEN('Open Positions'!B342)&gt;0,'Open Positions'!B342,"")</f>
      </c>
      <c r="B344" s="4" t="str">
        <f>IF(LEN('CALC'!A344)&gt;0,'Open Positions'!F342,"")</f>
      </c>
      <c r="C344" s="39" t="str">
        <f>IF(LEN(A344)&gt;0,'Open Positions'!Q342,"")</f>
      </c>
      <c r="D344" s="29" t="str">
        <f>IF(LEN(A344)&gt;0,B344*C344,"")</f>
      </c>
    </row>
    <row r="345" ht="15" customHeight="1" s="4" customFormat="1">
      <c r="A345" s="4" t="str">
        <f>IF(LEN('Open Positions'!B343)&gt;0,'Open Positions'!B343,"")</f>
      </c>
      <c r="B345" s="4" t="str">
        <f>IF(LEN('CALC'!A345)&gt;0,'Open Positions'!F343,"")</f>
      </c>
      <c r="C345" s="39" t="str">
        <f>IF(LEN(A345)&gt;0,'Open Positions'!Q343,"")</f>
      </c>
      <c r="D345" s="29" t="str">
        <f>IF(LEN(A345)&gt;0,B345*C345,"")</f>
      </c>
    </row>
    <row r="346" ht="15" customHeight="1" s="4" customFormat="1">
      <c r="A346" s="4" t="str">
        <f>IF(LEN('Open Positions'!B344)&gt;0,'Open Positions'!B344,"")</f>
      </c>
      <c r="B346" s="4" t="str">
        <f>IF(LEN('CALC'!A346)&gt;0,'Open Positions'!F344,"")</f>
      </c>
      <c r="C346" s="39" t="str">
        <f>IF(LEN(A346)&gt;0,'Open Positions'!Q344,"")</f>
      </c>
      <c r="D346" s="29" t="str">
        <f>IF(LEN(A346)&gt;0,B346*C346,"")</f>
      </c>
    </row>
    <row r="347" ht="15" customHeight="1" s="4" customFormat="1">
      <c r="A347" s="4" t="str">
        <f>IF(LEN('Open Positions'!B345)&gt;0,'Open Positions'!B345,"")</f>
      </c>
      <c r="B347" s="4" t="str">
        <f>IF(LEN('CALC'!A347)&gt;0,'Open Positions'!F345,"")</f>
      </c>
      <c r="C347" s="39" t="str">
        <f>IF(LEN(A347)&gt;0,'Open Positions'!Q345,"")</f>
      </c>
      <c r="D347" s="29" t="str">
        <f>IF(LEN(A347)&gt;0,B347*C347,"")</f>
      </c>
    </row>
    <row r="348" ht="15" customHeight="1" s="4" customFormat="1">
      <c r="A348" s="4" t="str">
        <f>IF(LEN('Open Positions'!B346)&gt;0,'Open Positions'!B346,"")</f>
      </c>
      <c r="B348" s="4" t="str">
        <f>IF(LEN('CALC'!A348)&gt;0,'Open Positions'!F346,"")</f>
      </c>
      <c r="C348" s="39" t="str">
        <f>IF(LEN(A348)&gt;0,'Open Positions'!Q346,"")</f>
      </c>
      <c r="D348" s="29" t="str">
        <f>IF(LEN(A348)&gt;0,B348*C348,"")</f>
      </c>
    </row>
    <row r="349" ht="15" customHeight="1" s="4" customFormat="1">
      <c r="A349" s="4" t="str">
        <f>IF(LEN('Open Positions'!B347)&gt;0,'Open Positions'!B347,"")</f>
      </c>
      <c r="B349" s="4" t="str">
        <f>IF(LEN('CALC'!A349)&gt;0,'Open Positions'!F347,"")</f>
      </c>
      <c r="C349" s="39" t="str">
        <f>IF(LEN(A349)&gt;0,'Open Positions'!Q347,"")</f>
      </c>
      <c r="D349" s="29" t="str">
        <f>IF(LEN(A349)&gt;0,B349*C349,"")</f>
      </c>
    </row>
    <row r="350" ht="15" customHeight="1" s="4" customFormat="1">
      <c r="A350" s="4" t="str">
        <f>IF(LEN('Open Positions'!B348)&gt;0,'Open Positions'!B348,"")</f>
      </c>
      <c r="B350" s="4" t="str">
        <f>IF(LEN('CALC'!A350)&gt;0,'Open Positions'!F348,"")</f>
      </c>
      <c r="C350" s="39" t="str">
        <f>IF(LEN(A350)&gt;0,'Open Positions'!Q348,"")</f>
      </c>
      <c r="D350" s="29" t="str">
        <f>IF(LEN(A350)&gt;0,B350*C350,"")</f>
      </c>
    </row>
    <row r="351" ht="15" customHeight="1" s="4" customFormat="1">
      <c r="A351" s="4" t="str">
        <f>IF(LEN('Open Positions'!B349)&gt;0,'Open Positions'!B349,"")</f>
      </c>
      <c r="B351" s="4" t="str">
        <f>IF(LEN('CALC'!A351)&gt;0,'Open Positions'!F349,"")</f>
      </c>
      <c r="C351" s="39" t="str">
        <f>IF(LEN(A351)&gt;0,'Open Positions'!Q349,"")</f>
      </c>
      <c r="D351" s="29" t="str">
        <f>IF(LEN(A351)&gt;0,B351*C351,"")</f>
      </c>
    </row>
    <row r="352" ht="15" customHeight="1" s="4" customFormat="1">
      <c r="A352" s="4" t="str">
        <f>IF(LEN('Open Positions'!B350)&gt;0,'Open Positions'!B350,"")</f>
      </c>
      <c r="B352" s="4" t="str">
        <f>IF(LEN('CALC'!A352)&gt;0,'Open Positions'!F350,"")</f>
      </c>
      <c r="C352" s="39" t="str">
        <f>IF(LEN(A352)&gt;0,'Open Positions'!Q350,"")</f>
      </c>
      <c r="D352" s="29" t="str">
        <f>IF(LEN(A352)&gt;0,B352*C352,"")</f>
      </c>
    </row>
    <row r="353" ht="15" customHeight="1" s="4" customFormat="1">
      <c r="A353" s="4" t="str">
        <f>IF(LEN('Open Positions'!B351)&gt;0,'Open Positions'!B351,"")</f>
      </c>
      <c r="B353" s="4" t="str">
        <f>IF(LEN('CALC'!A353)&gt;0,'Open Positions'!F351,"")</f>
      </c>
      <c r="C353" s="39" t="str">
        <f>IF(LEN(A353)&gt;0,'Open Positions'!Q351,"")</f>
      </c>
      <c r="D353" s="29" t="str">
        <f>IF(LEN(A353)&gt;0,B353*C353,"")</f>
      </c>
    </row>
    <row r="354" ht="15" customHeight="1" s="4" customFormat="1">
      <c r="A354" s="4" t="str">
        <f>IF(LEN('Open Positions'!B352)&gt;0,'Open Positions'!B352,"")</f>
      </c>
      <c r="B354" s="4" t="str">
        <f>IF(LEN('CALC'!A354)&gt;0,'Open Positions'!F352,"")</f>
      </c>
      <c r="C354" s="39" t="str">
        <f>IF(LEN(A354)&gt;0,'Open Positions'!Q352,"")</f>
      </c>
      <c r="D354" s="29" t="str">
        <f>IF(LEN(A354)&gt;0,B354*C354,"")</f>
      </c>
    </row>
    <row r="355" ht="15" customHeight="1" s="4" customFormat="1">
      <c r="A355" s="4" t="str">
        <f>IF(LEN('Open Positions'!B353)&gt;0,'Open Positions'!B353,"")</f>
      </c>
      <c r="B355" s="4" t="str">
        <f>IF(LEN('CALC'!A355)&gt;0,'Open Positions'!F353,"")</f>
      </c>
      <c r="C355" s="39" t="str">
        <f>IF(LEN(A355)&gt;0,'Open Positions'!Q353,"")</f>
      </c>
      <c r="D355" s="29" t="str">
        <f>IF(LEN(A355)&gt;0,B355*C355,"")</f>
      </c>
    </row>
    <row r="356" ht="15" customHeight="1" s="4" customFormat="1">
      <c r="A356" s="4" t="str">
        <f>IF(LEN('Open Positions'!B354)&gt;0,'Open Positions'!B354,"")</f>
      </c>
      <c r="B356" s="4" t="str">
        <f>IF(LEN('CALC'!A356)&gt;0,'Open Positions'!F354,"")</f>
      </c>
      <c r="C356" s="39" t="str">
        <f>IF(LEN(A356)&gt;0,'Open Positions'!Q354,"")</f>
      </c>
      <c r="D356" s="29" t="str">
        <f>IF(LEN(A356)&gt;0,B356*C356,"")</f>
      </c>
    </row>
    <row r="357" ht="15" customHeight="1" s="4" customFormat="1">
      <c r="A357" s="4" t="str">
        <f>IF(LEN('Open Positions'!B355)&gt;0,'Open Positions'!B355,"")</f>
      </c>
      <c r="B357" s="4" t="str">
        <f>IF(LEN('CALC'!A357)&gt;0,'Open Positions'!F355,"")</f>
      </c>
      <c r="C357" s="39" t="str">
        <f>IF(LEN(A357)&gt;0,'Open Positions'!Q355,"")</f>
      </c>
      <c r="D357" s="29" t="str">
        <f>IF(LEN(A357)&gt;0,B357*C357,"")</f>
      </c>
    </row>
    <row r="358" ht="15" customHeight="1" s="4" customFormat="1">
      <c r="A358" s="4" t="str">
        <f>IF(LEN('Open Positions'!B356)&gt;0,'Open Positions'!B356,"")</f>
      </c>
      <c r="B358" s="4" t="str">
        <f>IF(LEN('CALC'!A358)&gt;0,'Open Positions'!F356,"")</f>
      </c>
      <c r="C358" s="39" t="str">
        <f>IF(LEN(A358)&gt;0,'Open Positions'!Q356,"")</f>
      </c>
      <c r="D358" s="29" t="str">
        <f>IF(LEN(A358)&gt;0,B358*C358,"")</f>
      </c>
    </row>
    <row r="359" ht="15" customHeight="1" s="4" customFormat="1">
      <c r="A359" s="4" t="str">
        <f>IF(LEN('Open Positions'!B357)&gt;0,'Open Positions'!B357,"")</f>
      </c>
      <c r="B359" s="4" t="str">
        <f>IF(LEN('CALC'!A359)&gt;0,'Open Positions'!F357,"")</f>
      </c>
      <c r="C359" s="39" t="str">
        <f>IF(LEN(A359)&gt;0,'Open Positions'!Q357,"")</f>
      </c>
      <c r="D359" s="29" t="str">
        <f>IF(LEN(A359)&gt;0,B359*C359,"")</f>
      </c>
    </row>
    <row r="360" ht="15" customHeight="1" s="4" customFormat="1">
      <c r="A360" s="4" t="str">
        <f>IF(LEN('Open Positions'!B358)&gt;0,'Open Positions'!B358,"")</f>
      </c>
      <c r="B360" s="4" t="str">
        <f>IF(LEN('CALC'!A360)&gt;0,'Open Positions'!F358,"")</f>
      </c>
      <c r="C360" s="39" t="str">
        <f>IF(LEN(A360)&gt;0,'Open Positions'!Q358,"")</f>
      </c>
      <c r="D360" s="29" t="str">
        <f>IF(LEN(A360)&gt;0,B360*C360,"")</f>
      </c>
    </row>
    <row r="361" ht="15" customHeight="1" s="4" customFormat="1">
      <c r="A361" s="4" t="str">
        <f>IF(LEN('Open Positions'!B359)&gt;0,'Open Positions'!B359,"")</f>
      </c>
      <c r="B361" s="4" t="str">
        <f>IF(LEN('CALC'!A361)&gt;0,'Open Positions'!F359,"")</f>
      </c>
      <c r="C361" s="39" t="str">
        <f>IF(LEN(A361)&gt;0,'Open Positions'!Q359,"")</f>
      </c>
      <c r="D361" s="29" t="str">
        <f>IF(LEN(A361)&gt;0,B361*C361,"")</f>
      </c>
    </row>
    <row r="362" ht="15" customHeight="1" s="4" customFormat="1">
      <c r="A362" s="4" t="str">
        <f>IF(LEN('Open Positions'!B360)&gt;0,'Open Positions'!B360,"")</f>
      </c>
      <c r="B362" s="4" t="str">
        <f>IF(LEN('CALC'!A362)&gt;0,'Open Positions'!F360,"")</f>
      </c>
      <c r="C362" s="39" t="str">
        <f>IF(LEN(A362)&gt;0,'Open Positions'!Q360,"")</f>
      </c>
      <c r="D362" s="29" t="str">
        <f>IF(LEN(A362)&gt;0,B362*C362,"")</f>
      </c>
    </row>
    <row r="363" ht="15" customHeight="1" s="4" customFormat="1">
      <c r="A363" s="4" t="str">
        <f>IF(LEN('Open Positions'!B361)&gt;0,'Open Positions'!B361,"")</f>
      </c>
      <c r="B363" s="4" t="str">
        <f>IF(LEN('CALC'!A363)&gt;0,'Open Positions'!F361,"")</f>
      </c>
      <c r="C363" s="39" t="str">
        <f>IF(LEN(A363)&gt;0,'Open Positions'!Q361,"")</f>
      </c>
      <c r="D363" s="29" t="str">
        <f>IF(LEN(A363)&gt;0,B363*C363,"")</f>
      </c>
    </row>
    <row r="364" ht="15" customHeight="1" s="4" customFormat="1">
      <c r="A364" s="4" t="str">
        <f>IF(LEN('Open Positions'!B362)&gt;0,'Open Positions'!B362,"")</f>
      </c>
      <c r="B364" s="4" t="str">
        <f>IF(LEN('CALC'!A364)&gt;0,'Open Positions'!F362,"")</f>
      </c>
      <c r="C364" s="39" t="str">
        <f>IF(LEN(A364)&gt;0,'Open Positions'!Q362,"")</f>
      </c>
      <c r="D364" s="29" t="str">
        <f>IF(LEN(A364)&gt;0,B364*C364,"")</f>
      </c>
    </row>
    <row r="365" ht="15" customHeight="1" s="4" customFormat="1">
      <c r="A365" s="4" t="str">
        <f>IF(LEN('Open Positions'!B363)&gt;0,'Open Positions'!B363,"")</f>
      </c>
      <c r="B365" s="4" t="str">
        <f>IF(LEN('CALC'!A365)&gt;0,'Open Positions'!F363,"")</f>
      </c>
      <c r="C365" s="39" t="str">
        <f>IF(LEN(A365)&gt;0,'Open Positions'!Q363,"")</f>
      </c>
      <c r="D365" s="29" t="str">
        <f>IF(LEN(A365)&gt;0,B365*C365,"")</f>
      </c>
    </row>
    <row r="366" ht="15" customHeight="1" s="4" customFormat="1">
      <c r="A366" s="4" t="str">
        <f>IF(LEN('Open Positions'!B364)&gt;0,'Open Positions'!B364,"")</f>
      </c>
      <c r="B366" s="4" t="str">
        <f>IF(LEN('CALC'!A366)&gt;0,'Open Positions'!F364,"")</f>
      </c>
      <c r="C366" s="39" t="str">
        <f>IF(LEN(A366)&gt;0,'Open Positions'!Q364,"")</f>
      </c>
      <c r="D366" s="29" t="str">
        <f>IF(LEN(A366)&gt;0,B366*C366,"")</f>
      </c>
    </row>
    <row r="367" ht="15" customHeight="1" s="4" customFormat="1">
      <c r="A367" s="4" t="str">
        <f>IF(LEN('Open Positions'!B365)&gt;0,'Open Positions'!B365,"")</f>
      </c>
      <c r="B367" s="4" t="str">
        <f>IF(LEN('CALC'!A367)&gt;0,'Open Positions'!F365,"")</f>
      </c>
      <c r="C367" s="39" t="str">
        <f>IF(LEN(A367)&gt;0,'Open Positions'!Q365,"")</f>
      </c>
      <c r="D367" s="29" t="str">
        <f>IF(LEN(A367)&gt;0,B367*C367,"")</f>
      </c>
    </row>
    <row r="368" ht="15" customHeight="1" s="4" customFormat="1">
      <c r="A368" s="4" t="str">
        <f>IF(LEN('Open Positions'!B366)&gt;0,'Open Positions'!B366,"")</f>
      </c>
      <c r="B368" s="4" t="str">
        <f>IF(LEN('CALC'!A368)&gt;0,'Open Positions'!F366,"")</f>
      </c>
      <c r="C368" s="39" t="str">
        <f>IF(LEN(A368)&gt;0,'Open Positions'!Q366,"")</f>
      </c>
      <c r="D368" s="29" t="str">
        <f>IF(LEN(A368)&gt;0,B368*C368,"")</f>
      </c>
    </row>
    <row r="369" ht="15" customHeight="1" s="4" customFormat="1">
      <c r="A369" s="4" t="str">
        <f>IF(LEN('Open Positions'!B367)&gt;0,'Open Positions'!B367,"")</f>
      </c>
      <c r="B369" s="4" t="str">
        <f>IF(LEN('CALC'!A369)&gt;0,'Open Positions'!F367,"")</f>
      </c>
      <c r="C369" s="39" t="str">
        <f>IF(LEN(A369)&gt;0,'Open Positions'!Q367,"")</f>
      </c>
      <c r="D369" s="29" t="str">
        <f>IF(LEN(A369)&gt;0,B369*C369,"")</f>
      </c>
    </row>
    <row r="370" ht="15" customHeight="1" s="4" customFormat="1">
      <c r="A370" s="4" t="str">
        <f>IF(LEN('Open Positions'!B368)&gt;0,'Open Positions'!B368,"")</f>
      </c>
      <c r="B370" s="4" t="str">
        <f>IF(LEN('CALC'!A370)&gt;0,'Open Positions'!F368,"")</f>
      </c>
      <c r="C370" s="39" t="str">
        <f>IF(LEN(A370)&gt;0,'Open Positions'!Q368,"")</f>
      </c>
      <c r="D370" s="29" t="str">
        <f>IF(LEN(A370)&gt;0,B370*C370,"")</f>
      </c>
    </row>
    <row r="371" ht="15" customHeight="1" s="4" customFormat="1">
      <c r="A371" s="4" t="str">
        <f>IF(LEN('Open Positions'!B369)&gt;0,'Open Positions'!B369,"")</f>
      </c>
      <c r="B371" s="4" t="str">
        <f>IF(LEN('CALC'!A371)&gt;0,'Open Positions'!F369,"")</f>
      </c>
      <c r="C371" s="39" t="str">
        <f>IF(LEN(A371)&gt;0,'Open Positions'!Q369,"")</f>
      </c>
      <c r="D371" s="29" t="str">
        <f>IF(LEN(A371)&gt;0,B371*C371,"")</f>
      </c>
    </row>
    <row r="372" ht="15" customHeight="1" s="4" customFormat="1">
      <c r="A372" s="4" t="str">
        <f>IF(LEN('Open Positions'!B370)&gt;0,'Open Positions'!B370,"")</f>
      </c>
      <c r="B372" s="4" t="str">
        <f>IF(LEN('CALC'!A372)&gt;0,'Open Positions'!F370,"")</f>
      </c>
      <c r="C372" s="39" t="str">
        <f>IF(LEN(A372)&gt;0,'Open Positions'!Q370,"")</f>
      </c>
      <c r="D372" s="29" t="str">
        <f>IF(LEN(A372)&gt;0,B372*C372,"")</f>
      </c>
    </row>
    <row r="373" ht="15" customHeight="1" s="4" customFormat="1">
      <c r="A373" s="4" t="str">
        <f>IF(LEN('Open Positions'!B371)&gt;0,'Open Positions'!B371,"")</f>
      </c>
      <c r="B373" s="4" t="str">
        <f>IF(LEN('CALC'!A373)&gt;0,'Open Positions'!F371,"")</f>
      </c>
      <c r="C373" s="39" t="str">
        <f>IF(LEN(A373)&gt;0,'Open Positions'!Q371,"")</f>
      </c>
      <c r="D373" s="29" t="str">
        <f>IF(LEN(A373)&gt;0,B373*C373,"")</f>
      </c>
    </row>
    <row r="374" ht="15" customHeight="1" s="4" customFormat="1">
      <c r="A374" s="4" t="str">
        <f>IF(LEN('Open Positions'!B372)&gt;0,'Open Positions'!B372,"")</f>
      </c>
      <c r="B374" s="4" t="str">
        <f>IF(LEN('CALC'!A374)&gt;0,'Open Positions'!F372,"")</f>
      </c>
      <c r="C374" s="39" t="str">
        <f>IF(LEN(A374)&gt;0,'Open Positions'!Q372,"")</f>
      </c>
      <c r="D374" s="29" t="str">
        <f>IF(LEN(A374)&gt;0,B374*C374,"")</f>
      </c>
    </row>
    <row r="375" ht="15" customHeight="1" s="4" customFormat="1">
      <c r="A375" s="4" t="str">
        <f>IF(LEN('Open Positions'!B373)&gt;0,'Open Positions'!B373,"")</f>
      </c>
      <c r="B375" s="4" t="str">
        <f>IF(LEN('CALC'!A375)&gt;0,'Open Positions'!F373,"")</f>
      </c>
      <c r="C375" s="39" t="str">
        <f>IF(LEN(A375)&gt;0,'Open Positions'!Q373,"")</f>
      </c>
      <c r="D375" s="29" t="str">
        <f>IF(LEN(A375)&gt;0,B375*C375,"")</f>
      </c>
    </row>
    <row r="376" ht="15" customHeight="1" s="4" customFormat="1">
      <c r="A376" s="4" t="str">
        <f>IF(LEN('Open Positions'!B374)&gt;0,'Open Positions'!B374,"")</f>
      </c>
      <c r="B376" s="4" t="str">
        <f>IF(LEN('CALC'!A376)&gt;0,'Open Positions'!F374,"")</f>
      </c>
      <c r="C376" s="39" t="str">
        <f>IF(LEN(A376)&gt;0,'Open Positions'!Q374,"")</f>
      </c>
      <c r="D376" s="29" t="str">
        <f>IF(LEN(A376)&gt;0,B376*C376,"")</f>
      </c>
    </row>
    <row r="377" ht="15" customHeight="1" s="4" customFormat="1">
      <c r="A377" s="4" t="str">
        <f>IF(LEN('Open Positions'!B375)&gt;0,'Open Positions'!B375,"")</f>
      </c>
      <c r="B377" s="4" t="str">
        <f>IF(LEN('CALC'!A377)&gt;0,'Open Positions'!F375,"")</f>
      </c>
      <c r="C377" s="39" t="str">
        <f>IF(LEN(A377)&gt;0,'Open Positions'!Q375,"")</f>
      </c>
      <c r="D377" s="29" t="str">
        <f>IF(LEN(A377)&gt;0,B377*C377,"")</f>
      </c>
    </row>
    <row r="378" ht="15" customHeight="1" s="4" customFormat="1">
      <c r="A378" s="4" t="str">
        <f>IF(LEN('Open Positions'!B376)&gt;0,'Open Positions'!B376,"")</f>
      </c>
      <c r="B378" s="4" t="str">
        <f>IF(LEN('CALC'!A378)&gt;0,'Open Positions'!F376,"")</f>
      </c>
      <c r="C378" s="39" t="str">
        <f>IF(LEN(A378)&gt;0,'Open Positions'!Q376,"")</f>
      </c>
      <c r="D378" s="29" t="str">
        <f>IF(LEN(A378)&gt;0,B378*C378,"")</f>
      </c>
    </row>
    <row r="379" ht="15" customHeight="1" s="4" customFormat="1">
      <c r="A379" s="4" t="str">
        <f>IF(LEN('Open Positions'!B377)&gt;0,'Open Positions'!B377,"")</f>
      </c>
      <c r="B379" s="4" t="str">
        <f>IF(LEN('CALC'!A379)&gt;0,'Open Positions'!F377,"")</f>
      </c>
      <c r="C379" s="39" t="str">
        <f>IF(LEN(A379)&gt;0,'Open Positions'!Q377,"")</f>
      </c>
      <c r="D379" s="29" t="str">
        <f>IF(LEN(A379)&gt;0,B379*C379,"")</f>
      </c>
    </row>
    <row r="380" ht="15" customHeight="1" s="4" customFormat="1">
      <c r="A380" s="4" t="str">
        <f>IF(LEN('Open Positions'!B378)&gt;0,'Open Positions'!B378,"")</f>
      </c>
      <c r="B380" s="4" t="str">
        <f>IF(LEN('CALC'!A380)&gt;0,'Open Positions'!F378,"")</f>
      </c>
      <c r="C380" s="39" t="str">
        <f>IF(LEN(A380)&gt;0,'Open Positions'!Q378,"")</f>
      </c>
      <c r="D380" s="29" t="str">
        <f>IF(LEN(A380)&gt;0,B380*C380,"")</f>
      </c>
    </row>
    <row r="381" ht="15" customHeight="1" s="4" customFormat="1">
      <c r="A381" s="4" t="str">
        <f>IF(LEN('Open Positions'!B379)&gt;0,'Open Positions'!B379,"")</f>
      </c>
      <c r="B381" s="4" t="str">
        <f>IF(LEN('CALC'!A381)&gt;0,'Open Positions'!F379,"")</f>
      </c>
      <c r="C381" s="39" t="str">
        <f>IF(LEN(A381)&gt;0,'Open Positions'!Q379,"")</f>
      </c>
      <c r="D381" s="29" t="str">
        <f>IF(LEN(A381)&gt;0,B381*C381,"")</f>
      </c>
    </row>
    <row r="382" ht="15" customHeight="1" s="4" customFormat="1">
      <c r="A382" s="4" t="str">
        <f>IF(LEN('Open Positions'!B380)&gt;0,'Open Positions'!B380,"")</f>
      </c>
      <c r="B382" s="4" t="str">
        <f>IF(LEN('CALC'!A382)&gt;0,'Open Positions'!F380,"")</f>
      </c>
      <c r="C382" s="39" t="str">
        <f>IF(LEN(A382)&gt;0,'Open Positions'!Q380,"")</f>
      </c>
      <c r="D382" s="29" t="str">
        <f>IF(LEN(A382)&gt;0,B382*C382,"")</f>
      </c>
    </row>
    <row r="383" ht="15" customHeight="1" s="4" customFormat="1">
      <c r="A383" s="4" t="str">
        <f>IF(LEN('Open Positions'!B381)&gt;0,'Open Positions'!B381,"")</f>
      </c>
      <c r="B383" s="4" t="str">
        <f>IF(LEN('CALC'!A383)&gt;0,'Open Positions'!F381,"")</f>
      </c>
      <c r="C383" s="39" t="str">
        <f>IF(LEN(A383)&gt;0,'Open Positions'!Q381,"")</f>
      </c>
      <c r="D383" s="29" t="str">
        <f>IF(LEN(A383)&gt;0,B383*C383,"")</f>
      </c>
    </row>
    <row r="384" ht="15" customHeight="1" s="4" customFormat="1">
      <c r="A384" s="4" t="str">
        <f>IF(LEN('Open Positions'!B382)&gt;0,'Open Positions'!B382,"")</f>
      </c>
      <c r="B384" s="4" t="str">
        <f>IF(LEN('CALC'!A384)&gt;0,'Open Positions'!F382,"")</f>
      </c>
      <c r="C384" s="39" t="str">
        <f>IF(LEN(A384)&gt;0,'Open Positions'!Q382,"")</f>
      </c>
      <c r="D384" s="29" t="str">
        <f>IF(LEN(A384)&gt;0,B384*C384,"")</f>
      </c>
    </row>
    <row r="385" ht="15" customHeight="1" s="4" customFormat="1">
      <c r="A385" s="4" t="str">
        <f>IF(LEN('Open Positions'!B383)&gt;0,'Open Positions'!B383,"")</f>
      </c>
      <c r="B385" s="4" t="str">
        <f>IF(LEN('CALC'!A385)&gt;0,'Open Positions'!F383,"")</f>
      </c>
      <c r="C385" s="39" t="str">
        <f>IF(LEN(A385)&gt;0,'Open Positions'!Q383,"")</f>
      </c>
      <c r="D385" s="29" t="str">
        <f>IF(LEN(A385)&gt;0,B385*C385,"")</f>
      </c>
    </row>
    <row r="386" ht="15" customHeight="1" s="4" customFormat="1">
      <c r="A386" s="4" t="str">
        <f>IF(LEN('Open Positions'!B384)&gt;0,'Open Positions'!B384,"")</f>
      </c>
      <c r="B386" s="4" t="str">
        <f>IF(LEN('CALC'!A386)&gt;0,'Open Positions'!F384,"")</f>
      </c>
      <c r="C386" s="39" t="str">
        <f>IF(LEN(A386)&gt;0,'Open Positions'!Q384,"")</f>
      </c>
      <c r="D386" s="29" t="str">
        <f>IF(LEN(A386)&gt;0,B386*C386,"")</f>
      </c>
    </row>
    <row r="387" ht="15" customHeight="1" s="4" customFormat="1">
      <c r="A387" s="4" t="str">
        <f>IF(LEN('Open Positions'!B385)&gt;0,'Open Positions'!B385,"")</f>
      </c>
      <c r="B387" s="4" t="str">
        <f>IF(LEN('CALC'!A387)&gt;0,'Open Positions'!F385,"")</f>
      </c>
      <c r="C387" s="39" t="str">
        <f>IF(LEN(A387)&gt;0,'Open Positions'!Q385,"")</f>
      </c>
      <c r="D387" s="29" t="str">
        <f>IF(LEN(A387)&gt;0,B387*C387,"")</f>
      </c>
    </row>
    <row r="388" ht="15" customHeight="1" s="4" customFormat="1">
      <c r="A388" s="4" t="str">
        <f>IF(LEN('Open Positions'!B386)&gt;0,'Open Positions'!B386,"")</f>
      </c>
      <c r="B388" s="4" t="str">
        <f>IF(LEN('CALC'!A388)&gt;0,'Open Positions'!F386,"")</f>
      </c>
      <c r="C388" s="39" t="str">
        <f>IF(LEN(A388)&gt;0,'Open Positions'!Q386,"")</f>
      </c>
      <c r="D388" s="29" t="str">
        <f>IF(LEN(A388)&gt;0,B388*C388,"")</f>
      </c>
    </row>
    <row r="389" ht="15" customHeight="1" s="4" customFormat="1">
      <c r="A389" s="4" t="str">
        <f>IF(LEN('Open Positions'!B387)&gt;0,'Open Positions'!B387,"")</f>
      </c>
      <c r="B389" s="4" t="str">
        <f>IF(LEN('CALC'!A389)&gt;0,'Open Positions'!F387,"")</f>
      </c>
      <c r="C389" s="39" t="str">
        <f>IF(LEN(A389)&gt;0,'Open Positions'!Q387,"")</f>
      </c>
      <c r="D389" s="29" t="str">
        <f>IF(LEN(A389)&gt;0,B389*C389,"")</f>
      </c>
    </row>
    <row r="390" ht="15" customHeight="1" s="4" customFormat="1">
      <c r="A390" s="4" t="str">
        <f>IF(LEN('Open Positions'!B388)&gt;0,'Open Positions'!B388,"")</f>
      </c>
      <c r="B390" s="4" t="str">
        <f>IF(LEN('CALC'!A390)&gt;0,'Open Positions'!F388,"")</f>
      </c>
      <c r="C390" s="39" t="str">
        <f>IF(LEN(A390)&gt;0,'Open Positions'!Q388,"")</f>
      </c>
      <c r="D390" s="29" t="str">
        <f>IF(LEN(A390)&gt;0,B390*C390,"")</f>
      </c>
    </row>
    <row r="391" ht="15" customHeight="1" s="4" customFormat="1">
      <c r="A391" s="4" t="str">
        <f>IF(LEN('Open Positions'!B389)&gt;0,'Open Positions'!B389,"")</f>
      </c>
      <c r="B391" s="4" t="str">
        <f>IF(LEN('CALC'!A391)&gt;0,'Open Positions'!F389,"")</f>
      </c>
      <c r="C391" s="39" t="str">
        <f>IF(LEN(A391)&gt;0,'Open Positions'!Q389,"")</f>
      </c>
      <c r="D391" s="29" t="str">
        <f>IF(LEN(A391)&gt;0,B391*C391,"")</f>
      </c>
    </row>
    <row r="392" ht="15" customHeight="1" s="4" customFormat="1">
      <c r="A392" s="4" t="str">
        <f>IF(LEN('Open Positions'!B390)&gt;0,'Open Positions'!B390,"")</f>
      </c>
      <c r="B392" s="4" t="str">
        <f>IF(LEN('CALC'!A392)&gt;0,'Open Positions'!F390,"")</f>
      </c>
      <c r="C392" s="39" t="str">
        <f>IF(LEN(A392)&gt;0,'Open Positions'!Q390,"")</f>
      </c>
      <c r="D392" s="29" t="str">
        <f>IF(LEN(A392)&gt;0,B392*C392,"")</f>
      </c>
    </row>
    <row r="393" ht="15" customHeight="1" s="4" customFormat="1">
      <c r="A393" s="4" t="str">
        <f>IF(LEN('Open Positions'!B391)&gt;0,'Open Positions'!B391,"")</f>
      </c>
      <c r="B393" s="4" t="str">
        <f>IF(LEN('CALC'!A393)&gt;0,'Open Positions'!F391,"")</f>
      </c>
      <c r="C393" s="39" t="str">
        <f>IF(LEN(A393)&gt;0,'Open Positions'!Q391,"")</f>
      </c>
      <c r="D393" s="29" t="str">
        <f>IF(LEN(A393)&gt;0,B393*C393,"")</f>
      </c>
    </row>
    <row r="394" ht="15" customHeight="1" s="4" customFormat="1">
      <c r="A394" s="4" t="str">
        <f>IF(LEN('Open Positions'!B392)&gt;0,'Open Positions'!B392,"")</f>
      </c>
      <c r="B394" s="4" t="str">
        <f>IF(LEN('CALC'!A394)&gt;0,'Open Positions'!F392,"")</f>
      </c>
      <c r="C394" s="39" t="str">
        <f>IF(LEN(A394)&gt;0,'Open Positions'!Q392,"")</f>
      </c>
      <c r="D394" s="29" t="str">
        <f>IF(LEN(A394)&gt;0,B394*C394,"")</f>
      </c>
    </row>
    <row r="395" ht="15" customHeight="1" s="4" customFormat="1">
      <c r="A395" s="4" t="str">
        <f>IF(LEN('Open Positions'!B393)&gt;0,'Open Positions'!B393,"")</f>
      </c>
      <c r="B395" s="4" t="str">
        <f>IF(LEN('CALC'!A395)&gt;0,'Open Positions'!F393,"")</f>
      </c>
      <c r="C395" s="39" t="str">
        <f>IF(LEN(A395)&gt;0,'Open Positions'!Q393,"")</f>
      </c>
      <c r="D395" s="29" t="str">
        <f>IF(LEN(A395)&gt;0,B395*C395,"")</f>
      </c>
    </row>
    <row r="396" ht="15" customHeight="1" s="4" customFormat="1">
      <c r="A396" s="4" t="str">
        <f>IF(LEN('Open Positions'!B394)&gt;0,'Open Positions'!B394,"")</f>
      </c>
      <c r="B396" s="4" t="str">
        <f>IF(LEN('CALC'!A396)&gt;0,'Open Positions'!F394,"")</f>
      </c>
      <c r="C396" s="39" t="str">
        <f>IF(LEN(A396)&gt;0,'Open Positions'!Q394,"")</f>
      </c>
      <c r="D396" s="29" t="str">
        <f>IF(LEN(A396)&gt;0,B396*C396,"")</f>
      </c>
    </row>
    <row r="397" ht="15" customHeight="1" s="4" customFormat="1">
      <c r="A397" s="4" t="str">
        <f>IF(LEN('Open Positions'!B395)&gt;0,'Open Positions'!B395,"")</f>
      </c>
      <c r="B397" s="4" t="str">
        <f>IF(LEN('CALC'!A397)&gt;0,'Open Positions'!F395,"")</f>
      </c>
      <c r="C397" s="39" t="str">
        <f>IF(LEN(A397)&gt;0,'Open Positions'!Q395,"")</f>
      </c>
      <c r="D397" s="29" t="str">
        <f>IF(LEN(A397)&gt;0,B397*C397,"")</f>
      </c>
    </row>
    <row r="398" ht="15" customHeight="1" s="4" customFormat="1">
      <c r="A398" s="4" t="str">
        <f>IF(LEN('Open Positions'!B396)&gt;0,'Open Positions'!B396,"")</f>
      </c>
      <c r="B398" s="4" t="str">
        <f>IF(LEN('CALC'!A398)&gt;0,'Open Positions'!F396,"")</f>
      </c>
      <c r="C398" s="39" t="str">
        <f>IF(LEN(A398)&gt;0,'Open Positions'!Q396,"")</f>
      </c>
      <c r="D398" s="29" t="str">
        <f>IF(LEN(A398)&gt;0,B398*C398,"")</f>
      </c>
    </row>
    <row r="399" ht="15" customHeight="1" s="4" customFormat="1">
      <c r="A399" s="4" t="str">
        <f>IF(LEN('Open Positions'!B397)&gt;0,'Open Positions'!B397,"")</f>
      </c>
      <c r="B399" s="4" t="str">
        <f>IF(LEN('CALC'!A399)&gt;0,'Open Positions'!F397,"")</f>
      </c>
      <c r="C399" s="39" t="str">
        <f>IF(LEN(A399)&gt;0,'Open Positions'!Q397,"")</f>
      </c>
      <c r="D399" s="29" t="str">
        <f>IF(LEN(A399)&gt;0,B399*C399,"")</f>
      </c>
    </row>
    <row r="400" ht="15" customHeight="1" s="4" customFormat="1">
      <c r="A400" s="4" t="str">
        <f>IF(LEN('Open Positions'!B398)&gt;0,'Open Positions'!B398,"")</f>
      </c>
      <c r="B400" s="4" t="str">
        <f>IF(LEN('CALC'!A400)&gt;0,'Open Positions'!F398,"")</f>
      </c>
      <c r="C400" s="39" t="str">
        <f>IF(LEN(A400)&gt;0,'Open Positions'!Q398,"")</f>
      </c>
      <c r="D400" s="29" t="str">
        <f>IF(LEN(A400)&gt;0,B400*C400,"")</f>
      </c>
    </row>
    <row r="401" ht="15" customHeight="1" s="4" customFormat="1">
      <c r="A401" s="4" t="str">
        <f>IF(LEN('Open Positions'!B399)&gt;0,'Open Positions'!B399,"")</f>
      </c>
      <c r="B401" s="4" t="str">
        <f>IF(LEN('CALC'!A401)&gt;0,'Open Positions'!F399,"")</f>
      </c>
      <c r="C401" s="39" t="str">
        <f>IF(LEN(A401)&gt;0,'Open Positions'!Q399,"")</f>
      </c>
      <c r="D401" s="29" t="str">
        <f>IF(LEN(A401)&gt;0,B401*C401,"")</f>
      </c>
    </row>
    <row r="402" ht="15" customHeight="1" s="4" customFormat="1">
      <c r="A402" s="4" t="str">
        <f>IF(LEN('Open Positions'!B400)&gt;0,'Open Positions'!B400,"")</f>
      </c>
      <c r="B402" s="4" t="str">
        <f>IF(LEN('CALC'!A402)&gt;0,'Open Positions'!F400,"")</f>
      </c>
      <c r="C402" s="39" t="str">
        <f>IF(LEN(A402)&gt;0,'Open Positions'!Q400,"")</f>
      </c>
      <c r="D402" s="29" t="str">
        <f>IF(LEN(A402)&gt;0,B402*C402,"")</f>
      </c>
    </row>
    <row r="403" ht="15" customHeight="1" s="4" customFormat="1">
      <c r="A403" s="4" t="str">
        <f>IF(LEN('Open Positions'!B401)&gt;0,'Open Positions'!B401,"")</f>
      </c>
      <c r="B403" s="4" t="str">
        <f>IF(LEN('CALC'!A403)&gt;0,'Open Positions'!F401,"")</f>
      </c>
      <c r="C403" s="39" t="str">
        <f>IF(LEN(A403)&gt;0,'Open Positions'!Q401,"")</f>
      </c>
      <c r="D403" s="29" t="str">
        <f>IF(LEN(A403)&gt;0,B403*C403,"")</f>
      </c>
    </row>
    <row r="404" ht="15" customHeight="1" s="4" customFormat="1">
      <c r="A404" s="4" t="str">
        <f>IF(LEN('Open Positions'!B402)&gt;0,'Open Positions'!B402,"")</f>
      </c>
      <c r="B404" s="4" t="str">
        <f>IF(LEN('CALC'!A404)&gt;0,'Open Positions'!F402,"")</f>
      </c>
      <c r="C404" s="39" t="str">
        <f>IF(LEN(A404)&gt;0,'Open Positions'!Q402,"")</f>
      </c>
      <c r="D404" s="29" t="str">
        <f>IF(LEN(A404)&gt;0,B404*C404,"")</f>
      </c>
    </row>
    <row r="405" ht="15" customHeight="1" s="4" customFormat="1">
      <c r="A405" s="4" t="str">
        <f>IF(LEN('Open Positions'!B403)&gt;0,'Open Positions'!B403,"")</f>
      </c>
      <c r="B405" s="4" t="str">
        <f>IF(LEN('CALC'!A405)&gt;0,'Open Positions'!F403,"")</f>
      </c>
      <c r="C405" s="39" t="str">
        <f>IF(LEN(A405)&gt;0,'Open Positions'!Q403,"")</f>
      </c>
      <c r="D405" s="29" t="str">
        <f>IF(LEN(A405)&gt;0,B405*C405,"")</f>
      </c>
    </row>
    <row r="406" ht="15" customHeight="1" s="4" customFormat="1">
      <c r="A406" s="4" t="str">
        <f>IF(LEN('Open Positions'!B404)&gt;0,'Open Positions'!B404,"")</f>
      </c>
      <c r="B406" s="4" t="str">
        <f>IF(LEN('CALC'!A406)&gt;0,'Open Positions'!F404,"")</f>
      </c>
      <c r="C406" s="39" t="str">
        <f>IF(LEN(A406)&gt;0,'Open Positions'!Q404,"")</f>
      </c>
      <c r="D406" s="29" t="str">
        <f>IF(LEN(A406)&gt;0,B406*C406,"")</f>
      </c>
    </row>
    <row r="407" ht="15" customHeight="1" s="4" customFormat="1">
      <c r="A407" s="4" t="str">
        <f>IF(LEN('Open Positions'!B405)&gt;0,'Open Positions'!B405,"")</f>
      </c>
      <c r="B407" s="4" t="str">
        <f>IF(LEN('CALC'!A407)&gt;0,'Open Positions'!F405,"")</f>
      </c>
      <c r="C407" s="39" t="str">
        <f>IF(LEN(A407)&gt;0,'Open Positions'!Q405,"")</f>
      </c>
      <c r="D407" s="29" t="str">
        <f>IF(LEN(A407)&gt;0,B407*C407,"")</f>
      </c>
    </row>
    <row r="408" ht="15" customHeight="1" s="4" customFormat="1">
      <c r="A408" s="4" t="str">
        <f>IF(LEN('Open Positions'!B406)&gt;0,'Open Positions'!B406,"")</f>
      </c>
      <c r="B408" s="4" t="str">
        <f>IF(LEN('CALC'!A408)&gt;0,'Open Positions'!F406,"")</f>
      </c>
      <c r="C408" s="39" t="str">
        <f>IF(LEN(A408)&gt;0,'Open Positions'!Q406,"")</f>
      </c>
      <c r="D408" s="29" t="str">
        <f>IF(LEN(A408)&gt;0,B408*C408,"")</f>
      </c>
    </row>
    <row r="409" ht="15" customHeight="1" s="4" customFormat="1">
      <c r="A409" s="4" t="str">
        <f>IF(LEN('Open Positions'!B407)&gt;0,'Open Positions'!B407,"")</f>
      </c>
      <c r="B409" s="4" t="str">
        <f>IF(LEN('CALC'!A409)&gt;0,'Open Positions'!F407,"")</f>
      </c>
      <c r="C409" s="39" t="str">
        <f>IF(LEN(A409)&gt;0,'Open Positions'!Q407,"")</f>
      </c>
      <c r="D409" s="29" t="str">
        <f>IF(LEN(A409)&gt;0,B409*C409,"")</f>
      </c>
    </row>
    <row r="410" ht="15" customHeight="1" s="4" customFormat="1">
      <c r="A410" s="4" t="str">
        <f>IF(LEN('Open Positions'!B408)&gt;0,'Open Positions'!B408,"")</f>
      </c>
      <c r="B410" s="4" t="str">
        <f>IF(LEN('CALC'!A410)&gt;0,'Open Positions'!F408,"")</f>
      </c>
      <c r="C410" s="39" t="str">
        <f>IF(LEN(A410)&gt;0,'Open Positions'!Q408,"")</f>
      </c>
      <c r="D410" s="29" t="str">
        <f>IF(LEN(A410)&gt;0,B410*C410,"")</f>
      </c>
    </row>
    <row r="411" ht="15" customHeight="1" s="4" customFormat="1">
      <c r="A411" s="4" t="str">
        <f>IF(LEN('Open Positions'!B409)&gt;0,'Open Positions'!B409,"")</f>
      </c>
      <c r="B411" s="4" t="str">
        <f>IF(LEN('CALC'!A411)&gt;0,'Open Positions'!F409,"")</f>
      </c>
      <c r="C411" s="39" t="str">
        <f>IF(LEN(A411)&gt;0,'Open Positions'!Q409,"")</f>
      </c>
      <c r="D411" s="29" t="str">
        <f>IF(LEN(A411)&gt;0,B411*C411,"")</f>
      </c>
    </row>
    <row r="412" ht="15" customHeight="1" s="4" customFormat="1">
      <c r="A412" s="4" t="str">
        <f>IF(LEN('Open Positions'!B410)&gt;0,'Open Positions'!B410,"")</f>
      </c>
      <c r="B412" s="4" t="str">
        <f>IF(LEN('CALC'!A412)&gt;0,'Open Positions'!F410,"")</f>
      </c>
      <c r="C412" s="39" t="str">
        <f>IF(LEN(A412)&gt;0,'Open Positions'!Q410,"")</f>
      </c>
      <c r="D412" s="29" t="str">
        <f>IF(LEN(A412)&gt;0,B412*C412,"")</f>
      </c>
    </row>
    <row r="413" ht="15" customHeight="1" s="4" customFormat="1">
      <c r="A413" s="4" t="str">
        <f>IF(LEN('Open Positions'!B411)&gt;0,'Open Positions'!B411,"")</f>
      </c>
      <c r="B413" s="4" t="str">
        <f>IF(LEN('CALC'!A413)&gt;0,'Open Positions'!F411,"")</f>
      </c>
      <c r="C413" s="39" t="str">
        <f>IF(LEN(A413)&gt;0,'Open Positions'!Q411,"")</f>
      </c>
      <c r="D413" s="29" t="str">
        <f>IF(LEN(A413)&gt;0,B413*C413,"")</f>
      </c>
    </row>
    <row r="414" ht="15" customHeight="1" s="4" customFormat="1">
      <c r="A414" s="4" t="str">
        <f>IF(LEN('Open Positions'!B412)&gt;0,'Open Positions'!B412,"")</f>
      </c>
      <c r="B414" s="4" t="str">
        <f>IF(LEN('CALC'!A414)&gt;0,'Open Positions'!F412,"")</f>
      </c>
      <c r="C414" s="39" t="str">
        <f>IF(LEN(A414)&gt;0,'Open Positions'!Q412,"")</f>
      </c>
      <c r="D414" s="29" t="str">
        <f>IF(LEN(A414)&gt;0,B414*C414,"")</f>
      </c>
    </row>
    <row r="415" ht="15" customHeight="1" s="4" customFormat="1">
      <c r="A415" s="4" t="str">
        <f>IF(LEN('Open Positions'!B413)&gt;0,'Open Positions'!B413,"")</f>
      </c>
      <c r="B415" s="4" t="str">
        <f>IF(LEN('CALC'!A415)&gt;0,'Open Positions'!F413,"")</f>
      </c>
      <c r="C415" s="39" t="str">
        <f>IF(LEN(A415)&gt;0,'Open Positions'!Q413,"")</f>
      </c>
      <c r="D415" s="29" t="str">
        <f>IF(LEN(A415)&gt;0,B415*C415,"")</f>
      </c>
    </row>
    <row r="416" ht="15" customHeight="1" s="4" customFormat="1">
      <c r="A416" s="4" t="str">
        <f>IF(LEN('Open Positions'!B414)&gt;0,'Open Positions'!B414,"")</f>
      </c>
      <c r="B416" s="4" t="str">
        <f>IF(LEN('CALC'!A416)&gt;0,'Open Positions'!F414,"")</f>
      </c>
      <c r="C416" s="39" t="str">
        <f>IF(LEN(A416)&gt;0,'Open Positions'!Q414,"")</f>
      </c>
      <c r="D416" s="29" t="str">
        <f>IF(LEN(A416)&gt;0,B416*C416,"")</f>
      </c>
    </row>
    <row r="417" ht="15" customHeight="1" s="4" customFormat="1">
      <c r="A417" s="4" t="str">
        <f>IF(LEN('Open Positions'!B415)&gt;0,'Open Positions'!B415,"")</f>
      </c>
      <c r="B417" s="4" t="str">
        <f>IF(LEN('CALC'!A417)&gt;0,'Open Positions'!F415,"")</f>
      </c>
      <c r="C417" s="39" t="str">
        <f>IF(LEN(A417)&gt;0,'Open Positions'!Q415,"")</f>
      </c>
      <c r="D417" s="29" t="str">
        <f>IF(LEN(A417)&gt;0,B417*C417,"")</f>
      </c>
    </row>
    <row r="418" ht="15" customHeight="1" s="4" customFormat="1">
      <c r="A418" s="4" t="str">
        <f>IF(LEN('Open Positions'!B416)&gt;0,'Open Positions'!B416,"")</f>
      </c>
      <c r="B418" s="4" t="str">
        <f>IF(LEN('CALC'!A418)&gt;0,'Open Positions'!F416,"")</f>
      </c>
      <c r="C418" s="39" t="str">
        <f>IF(LEN(A418)&gt;0,'Open Positions'!Q416,"")</f>
      </c>
      <c r="D418" s="29" t="str">
        <f>IF(LEN(A418)&gt;0,B418*C418,"")</f>
      </c>
    </row>
    <row r="419" ht="15" customHeight="1" s="4" customFormat="1">
      <c r="A419" s="4" t="str">
        <f>IF(LEN('Open Positions'!B417)&gt;0,'Open Positions'!B417,"")</f>
      </c>
      <c r="B419" s="4" t="str">
        <f>IF(LEN('CALC'!A419)&gt;0,'Open Positions'!F417,"")</f>
      </c>
      <c r="C419" s="39" t="str">
        <f>IF(LEN(A419)&gt;0,'Open Positions'!Q417,"")</f>
      </c>
      <c r="D419" s="29" t="str">
        <f>IF(LEN(A419)&gt;0,B419*C419,"")</f>
      </c>
    </row>
    <row r="420" ht="15" customHeight="1" s="4" customFormat="1">
      <c r="A420" s="4" t="str">
        <f>IF(LEN('Open Positions'!B418)&gt;0,'Open Positions'!B418,"")</f>
      </c>
      <c r="B420" s="4" t="str">
        <f>IF(LEN('CALC'!A420)&gt;0,'Open Positions'!F418,"")</f>
      </c>
      <c r="C420" s="39" t="str">
        <f>IF(LEN(A420)&gt;0,'Open Positions'!Q418,"")</f>
      </c>
      <c r="D420" s="29" t="str">
        <f>IF(LEN(A420)&gt;0,B420*C420,"")</f>
      </c>
    </row>
    <row r="421" ht="15" customHeight="1" s="4" customFormat="1">
      <c r="A421" s="4" t="str">
        <f>IF(LEN('Open Positions'!B419)&gt;0,'Open Positions'!B419,"")</f>
      </c>
      <c r="B421" s="4" t="str">
        <f>IF(LEN('CALC'!A421)&gt;0,'Open Positions'!F419,"")</f>
      </c>
      <c r="C421" s="39" t="str">
        <f>IF(LEN(A421)&gt;0,'Open Positions'!Q419,"")</f>
      </c>
      <c r="D421" s="29" t="str">
        <f>IF(LEN(A421)&gt;0,B421*C421,"")</f>
      </c>
    </row>
    <row r="422" ht="15" customHeight="1" s="4" customFormat="1">
      <c r="A422" s="4" t="str">
        <f>IF(LEN('Open Positions'!B420)&gt;0,'Open Positions'!B420,"")</f>
      </c>
      <c r="B422" s="4" t="str">
        <f>IF(LEN('CALC'!A422)&gt;0,'Open Positions'!F420,"")</f>
      </c>
      <c r="C422" s="39" t="str">
        <f>IF(LEN(A422)&gt;0,'Open Positions'!Q420,"")</f>
      </c>
      <c r="D422" s="29" t="str">
        <f>IF(LEN(A422)&gt;0,B422*C422,"")</f>
      </c>
    </row>
    <row r="423" ht="15" customHeight="1" s="4" customFormat="1">
      <c r="A423" s="4" t="str">
        <f>IF(LEN('Open Positions'!B421)&gt;0,'Open Positions'!B421,"")</f>
      </c>
      <c r="B423" s="4" t="str">
        <f>IF(LEN('CALC'!A423)&gt;0,'Open Positions'!F421,"")</f>
      </c>
      <c r="C423" s="39" t="str">
        <f>IF(LEN(A423)&gt;0,'Open Positions'!Q421,"")</f>
      </c>
      <c r="D423" s="29" t="str">
        <f>IF(LEN(A423)&gt;0,B423*C423,"")</f>
      </c>
    </row>
    <row r="424" ht="15" customHeight="1" s="4" customFormat="1">
      <c r="A424" s="4" t="str">
        <f>IF(LEN('Open Positions'!B422)&gt;0,'Open Positions'!B422,"")</f>
      </c>
      <c r="B424" s="4" t="str">
        <f>IF(LEN('CALC'!A424)&gt;0,'Open Positions'!F422,"")</f>
      </c>
      <c r="C424" s="39" t="str">
        <f>IF(LEN(A424)&gt;0,'Open Positions'!Q422,"")</f>
      </c>
      <c r="D424" s="29" t="str">
        <f>IF(LEN(A424)&gt;0,B424*C424,"")</f>
      </c>
    </row>
    <row r="425" ht="15" customHeight="1" s="4" customFormat="1">
      <c r="A425" s="4" t="str">
        <f>IF(LEN('Open Positions'!B423)&gt;0,'Open Positions'!B423,"")</f>
      </c>
      <c r="B425" s="4" t="str">
        <f>IF(LEN('CALC'!A425)&gt;0,'Open Positions'!F423,"")</f>
      </c>
      <c r="C425" s="39" t="str">
        <f>IF(LEN(A425)&gt;0,'Open Positions'!Q423,"")</f>
      </c>
      <c r="D425" s="29" t="str">
        <f>IF(LEN(A425)&gt;0,B425*C425,"")</f>
      </c>
    </row>
    <row r="426" ht="15" customHeight="1" s="4" customFormat="1">
      <c r="A426" s="4" t="str">
        <f>IF(LEN('Open Positions'!B424)&gt;0,'Open Positions'!B424,"")</f>
      </c>
      <c r="B426" s="4" t="str">
        <f>IF(LEN('CALC'!A426)&gt;0,'Open Positions'!F424,"")</f>
      </c>
      <c r="C426" s="39" t="str">
        <f>IF(LEN(A426)&gt;0,'Open Positions'!Q424,"")</f>
      </c>
      <c r="D426" s="29" t="str">
        <f>IF(LEN(A426)&gt;0,B426*C426,"")</f>
      </c>
    </row>
    <row r="427" ht="15" customHeight="1" s="4" customFormat="1">
      <c r="A427" s="4" t="str">
        <f>IF(LEN('Open Positions'!B425)&gt;0,'Open Positions'!B425,"")</f>
      </c>
      <c r="B427" s="4" t="str">
        <f>IF(LEN('CALC'!A427)&gt;0,'Open Positions'!F425,"")</f>
      </c>
      <c r="C427" s="39" t="str">
        <f>IF(LEN(A427)&gt;0,'Open Positions'!Q425,"")</f>
      </c>
      <c r="D427" s="29" t="str">
        <f>IF(LEN(A427)&gt;0,B427*C427,"")</f>
      </c>
    </row>
    <row r="428" ht="15" customHeight="1" s="4" customFormat="1">
      <c r="A428" s="4" t="str">
        <f>IF(LEN('Open Positions'!B426)&gt;0,'Open Positions'!B426,"")</f>
      </c>
      <c r="B428" s="4" t="str">
        <f>IF(LEN('CALC'!A428)&gt;0,'Open Positions'!F426,"")</f>
      </c>
      <c r="C428" s="39" t="str">
        <f>IF(LEN(A428)&gt;0,'Open Positions'!Q426,"")</f>
      </c>
      <c r="D428" s="29" t="str">
        <f>IF(LEN(A428)&gt;0,B428*C428,"")</f>
      </c>
    </row>
    <row r="429" ht="15" customHeight="1" s="4" customFormat="1">
      <c r="A429" s="4" t="str">
        <f>IF(LEN('Open Positions'!B427)&gt;0,'Open Positions'!B427,"")</f>
      </c>
      <c r="B429" s="4" t="str">
        <f>IF(LEN('CALC'!A429)&gt;0,'Open Positions'!F427,"")</f>
      </c>
      <c r="C429" s="39" t="str">
        <f>IF(LEN(A429)&gt;0,'Open Positions'!Q427,"")</f>
      </c>
      <c r="D429" s="29" t="str">
        <f>IF(LEN(A429)&gt;0,B429*C429,"")</f>
      </c>
    </row>
    <row r="430" ht="15" customHeight="1" s="4" customFormat="1">
      <c r="A430" s="4" t="str">
        <f>IF(LEN('Open Positions'!B428)&gt;0,'Open Positions'!B428,"")</f>
      </c>
      <c r="B430" s="4" t="str">
        <f>IF(LEN('CALC'!A430)&gt;0,'Open Positions'!F428,"")</f>
      </c>
      <c r="C430" s="39" t="str">
        <f>IF(LEN(A430)&gt;0,'Open Positions'!Q428,"")</f>
      </c>
      <c r="D430" s="29" t="str">
        <f>IF(LEN(A430)&gt;0,B430*C430,"")</f>
      </c>
    </row>
    <row r="431" ht="15" customHeight="1" s="4" customFormat="1">
      <c r="A431" s="4" t="str">
        <f>IF(LEN('Open Positions'!B429)&gt;0,'Open Positions'!B429,"")</f>
      </c>
      <c r="B431" s="4" t="str">
        <f>IF(LEN('CALC'!A431)&gt;0,'Open Positions'!F429,"")</f>
      </c>
      <c r="C431" s="39" t="str">
        <f>IF(LEN(A431)&gt;0,'Open Positions'!Q429,"")</f>
      </c>
      <c r="D431" s="29" t="str">
        <f>IF(LEN(A431)&gt;0,B431*C431,"")</f>
      </c>
    </row>
    <row r="432" ht="15" customHeight="1" s="4" customFormat="1">
      <c r="A432" s="4" t="str">
        <f>IF(LEN('Open Positions'!B430)&gt;0,'Open Positions'!B430,"")</f>
      </c>
      <c r="B432" s="4" t="str">
        <f>IF(LEN('CALC'!A432)&gt;0,'Open Positions'!F430,"")</f>
      </c>
      <c r="C432" s="39" t="str">
        <f>IF(LEN(A432)&gt;0,'Open Positions'!Q430,"")</f>
      </c>
      <c r="D432" s="29" t="str">
        <f>IF(LEN(A432)&gt;0,B432*C432,"")</f>
      </c>
    </row>
    <row r="433" ht="15" customHeight="1" s="4" customFormat="1">
      <c r="A433" s="4" t="str">
        <f>IF(LEN('Open Positions'!B431)&gt;0,'Open Positions'!B431,"")</f>
      </c>
      <c r="B433" s="4" t="str">
        <f>IF(LEN('CALC'!A433)&gt;0,'Open Positions'!F431,"")</f>
      </c>
      <c r="C433" s="39" t="str">
        <f>IF(LEN(A433)&gt;0,'Open Positions'!Q431,"")</f>
      </c>
      <c r="D433" s="29" t="str">
        <f>IF(LEN(A433)&gt;0,B433*C433,"")</f>
      </c>
    </row>
    <row r="434" ht="15" customHeight="1" s="4" customFormat="1">
      <c r="A434" s="4" t="str">
        <f>IF(LEN('Open Positions'!B432)&gt;0,'Open Positions'!B432,"")</f>
      </c>
      <c r="B434" s="4" t="str">
        <f>IF(LEN('CALC'!A434)&gt;0,'Open Positions'!F432,"")</f>
      </c>
      <c r="C434" s="39" t="str">
        <f>IF(LEN(A434)&gt;0,'Open Positions'!Q432,"")</f>
      </c>
      <c r="D434" s="29" t="str">
        <f>IF(LEN(A434)&gt;0,B434*C434,"")</f>
      </c>
    </row>
    <row r="435" ht="15" customHeight="1" s="4" customFormat="1">
      <c r="A435" s="4" t="str">
        <f>IF(LEN('Open Positions'!B433)&gt;0,'Open Positions'!B433,"")</f>
      </c>
      <c r="B435" s="4" t="str">
        <f>IF(LEN('CALC'!A435)&gt;0,'Open Positions'!F433,"")</f>
      </c>
      <c r="C435" s="39" t="str">
        <f>IF(LEN(A435)&gt;0,'Open Positions'!Q433,"")</f>
      </c>
      <c r="D435" s="29" t="str">
        <f>IF(LEN(A435)&gt;0,B435*C435,"")</f>
      </c>
    </row>
    <row r="436" ht="15" customHeight="1" s="4" customFormat="1">
      <c r="A436" s="4" t="str">
        <f>IF(LEN('Open Positions'!B434)&gt;0,'Open Positions'!B434,"")</f>
      </c>
      <c r="B436" s="4" t="str">
        <f>IF(LEN('CALC'!A436)&gt;0,'Open Positions'!F434,"")</f>
      </c>
      <c r="C436" s="39" t="str">
        <f>IF(LEN(A436)&gt;0,'Open Positions'!Q434,"")</f>
      </c>
      <c r="D436" s="29" t="str">
        <f>IF(LEN(A436)&gt;0,B436*C436,"")</f>
      </c>
    </row>
    <row r="437" ht="15" customHeight="1" s="4" customFormat="1">
      <c r="A437" s="4" t="str">
        <f>IF(LEN('Open Positions'!B435)&gt;0,'Open Positions'!B435,"")</f>
      </c>
      <c r="B437" s="4" t="str">
        <f>IF(LEN('CALC'!A437)&gt;0,'Open Positions'!F435,"")</f>
      </c>
      <c r="C437" s="39" t="str">
        <f>IF(LEN(A437)&gt;0,'Open Positions'!Q435,"")</f>
      </c>
      <c r="D437" s="29" t="str">
        <f>IF(LEN(A437)&gt;0,B437*C437,"")</f>
      </c>
    </row>
    <row r="438" ht="15" customHeight="1" s="4" customFormat="1">
      <c r="A438" s="4" t="str">
        <f>IF(LEN('Open Positions'!B436)&gt;0,'Open Positions'!B436,"")</f>
      </c>
      <c r="B438" s="4" t="str">
        <f>IF(LEN('CALC'!A438)&gt;0,'Open Positions'!F436,"")</f>
      </c>
      <c r="C438" s="39" t="str">
        <f>IF(LEN(A438)&gt;0,'Open Positions'!Q436,"")</f>
      </c>
      <c r="D438" s="29" t="str">
        <f>IF(LEN(A438)&gt;0,B438*C438,"")</f>
      </c>
    </row>
    <row r="439" ht="15" customHeight="1" s="4" customFormat="1">
      <c r="A439" s="4" t="str">
        <f>IF(LEN('Open Positions'!B437)&gt;0,'Open Positions'!B437,"")</f>
      </c>
      <c r="B439" s="4" t="str">
        <f>IF(LEN('CALC'!A439)&gt;0,'Open Positions'!F437,"")</f>
      </c>
      <c r="C439" s="39" t="str">
        <f>IF(LEN(A439)&gt;0,'Open Positions'!Q437,"")</f>
      </c>
      <c r="D439" s="29" t="str">
        <f>IF(LEN(A439)&gt;0,B439*C439,"")</f>
      </c>
    </row>
    <row r="440" ht="15" customHeight="1" s="4" customFormat="1">
      <c r="A440" s="4" t="str">
        <f>IF(LEN('Open Positions'!B438)&gt;0,'Open Positions'!B438,"")</f>
      </c>
      <c r="B440" s="4" t="str">
        <f>IF(LEN('CALC'!A440)&gt;0,'Open Positions'!F438,"")</f>
      </c>
      <c r="C440" s="39" t="str">
        <f>IF(LEN(A440)&gt;0,'Open Positions'!Q438,"")</f>
      </c>
      <c r="D440" s="29" t="str">
        <f>IF(LEN(A440)&gt;0,B440*C440,"")</f>
      </c>
    </row>
    <row r="441" ht="15" customHeight="1" s="4" customFormat="1">
      <c r="A441" s="4" t="str">
        <f>IF(LEN('Open Positions'!B439)&gt;0,'Open Positions'!B439,"")</f>
      </c>
      <c r="B441" s="4" t="str">
        <f>IF(LEN('CALC'!A441)&gt;0,'Open Positions'!F439,"")</f>
      </c>
      <c r="C441" s="39" t="str">
        <f>IF(LEN(A441)&gt;0,'Open Positions'!Q439,"")</f>
      </c>
      <c r="D441" s="29" t="str">
        <f>IF(LEN(A441)&gt;0,B441*C441,"")</f>
      </c>
    </row>
    <row r="442" ht="15" customHeight="1" s="4" customFormat="1">
      <c r="A442" s="4" t="str">
        <f>IF(LEN('Open Positions'!B440)&gt;0,'Open Positions'!B440,"")</f>
      </c>
      <c r="B442" s="4" t="str">
        <f>IF(LEN('CALC'!A442)&gt;0,'Open Positions'!F440,"")</f>
      </c>
      <c r="C442" s="39" t="str">
        <f>IF(LEN(A442)&gt;0,'Open Positions'!Q440,"")</f>
      </c>
      <c r="D442" s="29" t="str">
        <f>IF(LEN(A442)&gt;0,B442*C442,"")</f>
      </c>
    </row>
    <row r="443" ht="15" customHeight="1" s="4" customFormat="1">
      <c r="A443" s="4" t="str">
        <f>IF(LEN('Open Positions'!B441)&gt;0,'Open Positions'!B441,"")</f>
      </c>
      <c r="B443" s="4" t="str">
        <f>IF(LEN('CALC'!A443)&gt;0,'Open Positions'!F441,"")</f>
      </c>
      <c r="C443" s="39" t="str">
        <f>IF(LEN(A443)&gt;0,'Open Positions'!Q441,"")</f>
      </c>
      <c r="D443" s="29" t="str">
        <f>IF(LEN(A443)&gt;0,B443*C443,"")</f>
      </c>
    </row>
    <row r="444" ht="15" customHeight="1" s="4" customFormat="1">
      <c r="A444" s="4" t="str">
        <f>IF(LEN('Open Positions'!B442)&gt;0,'Open Positions'!B442,"")</f>
      </c>
      <c r="B444" s="4" t="str">
        <f>IF(LEN('CALC'!A444)&gt;0,'Open Positions'!F442,"")</f>
      </c>
      <c r="C444" s="39" t="str">
        <f>IF(LEN(A444)&gt;0,'Open Positions'!Q442,"")</f>
      </c>
      <c r="D444" s="29" t="str">
        <f>IF(LEN(A444)&gt;0,B444*C444,"")</f>
      </c>
    </row>
    <row r="445" ht="15" customHeight="1" s="4" customFormat="1">
      <c r="A445" s="4" t="str">
        <f>IF(LEN('Open Positions'!B443)&gt;0,'Open Positions'!B443,"")</f>
      </c>
      <c r="B445" s="4" t="str">
        <f>IF(LEN('CALC'!A445)&gt;0,'Open Positions'!F443,"")</f>
      </c>
      <c r="C445" s="39" t="str">
        <f>IF(LEN(A445)&gt;0,'Open Positions'!Q443,"")</f>
      </c>
      <c r="D445" s="29" t="str">
        <f>IF(LEN(A445)&gt;0,B445*C445,"")</f>
      </c>
    </row>
    <row r="446" ht="15" customHeight="1" s="4" customFormat="1">
      <c r="A446" s="4" t="str">
        <f>IF(LEN('Open Positions'!B444)&gt;0,'Open Positions'!B444,"")</f>
      </c>
      <c r="B446" s="4" t="str">
        <f>IF(LEN('CALC'!A446)&gt;0,'Open Positions'!F444,"")</f>
      </c>
      <c r="C446" s="39" t="str">
        <f>IF(LEN(A446)&gt;0,'Open Positions'!Q444,"")</f>
      </c>
      <c r="D446" s="29" t="str">
        <f>IF(LEN(A446)&gt;0,B446*C446,"")</f>
      </c>
    </row>
    <row r="447" ht="15" customHeight="1" s="4" customFormat="1">
      <c r="A447" s="4" t="str">
        <f>IF(LEN('Open Positions'!B445)&gt;0,'Open Positions'!B445,"")</f>
      </c>
      <c r="B447" s="4" t="str">
        <f>IF(LEN('CALC'!A447)&gt;0,'Open Positions'!F445,"")</f>
      </c>
      <c r="C447" s="39" t="str">
        <f>IF(LEN(A447)&gt;0,'Open Positions'!Q445,"")</f>
      </c>
      <c r="D447" s="29" t="str">
        <f>IF(LEN(A447)&gt;0,B447*C447,"")</f>
      </c>
    </row>
    <row r="448" ht="15" customHeight="1" s="4" customFormat="1">
      <c r="A448" s="4" t="str">
        <f>IF(LEN('Open Positions'!B446)&gt;0,'Open Positions'!B446,"")</f>
      </c>
      <c r="B448" s="4" t="str">
        <f>IF(LEN('CALC'!A448)&gt;0,'Open Positions'!F446,"")</f>
      </c>
      <c r="C448" s="39" t="str">
        <f>IF(LEN(A448)&gt;0,'Open Positions'!Q446,"")</f>
      </c>
      <c r="D448" s="29" t="str">
        <f>IF(LEN(A448)&gt;0,B448*C448,"")</f>
      </c>
    </row>
    <row r="449" ht="15" customHeight="1" s="4" customFormat="1">
      <c r="A449" s="4" t="str">
        <f>IF(LEN('Open Positions'!B447)&gt;0,'Open Positions'!B447,"")</f>
      </c>
      <c r="B449" s="4" t="str">
        <f>IF(LEN('CALC'!A449)&gt;0,'Open Positions'!F447,"")</f>
      </c>
      <c r="C449" s="39" t="str">
        <f>IF(LEN(A449)&gt;0,'Open Positions'!Q447,"")</f>
      </c>
      <c r="D449" s="29" t="str">
        <f>IF(LEN(A449)&gt;0,B449*C449,"")</f>
      </c>
    </row>
    <row r="450" ht="15" customHeight="1" s="4" customFormat="1">
      <c r="A450" s="4" t="str">
        <f>IF(LEN('Open Positions'!B448)&gt;0,'Open Positions'!B448,"")</f>
      </c>
      <c r="B450" s="4" t="str">
        <f>IF(LEN('CALC'!A450)&gt;0,'Open Positions'!F448,"")</f>
      </c>
      <c r="C450" s="39" t="str">
        <f>IF(LEN(A450)&gt;0,'Open Positions'!Q448,"")</f>
      </c>
      <c r="D450" s="29" t="str">
        <f>IF(LEN(A450)&gt;0,B450*C450,"")</f>
      </c>
    </row>
    <row r="451" ht="15" customHeight="1" s="4" customFormat="1">
      <c r="A451" s="4" t="str">
        <f>IF(LEN('Open Positions'!B449)&gt;0,'Open Positions'!B449,"")</f>
      </c>
      <c r="B451" s="4" t="str">
        <f>IF(LEN('CALC'!A451)&gt;0,'Open Positions'!F449,"")</f>
      </c>
      <c r="C451" s="39" t="str">
        <f>IF(LEN(A451)&gt;0,'Open Positions'!Q449,"")</f>
      </c>
      <c r="D451" s="29" t="str">
        <f>IF(LEN(A451)&gt;0,B451*C451,"")</f>
      </c>
    </row>
    <row r="452" ht="15" customHeight="1" s="4" customFormat="1">
      <c r="A452" s="4" t="str">
        <f>IF(LEN('Open Positions'!B450)&gt;0,'Open Positions'!B450,"")</f>
      </c>
      <c r="B452" s="4" t="str">
        <f>IF(LEN('CALC'!A452)&gt;0,'Open Positions'!F450,"")</f>
      </c>
      <c r="C452" s="39" t="str">
        <f>IF(LEN(A452)&gt;0,'Open Positions'!Q450,"")</f>
      </c>
      <c r="D452" s="29" t="str">
        <f>IF(LEN(A452)&gt;0,B452*C452,"")</f>
      </c>
    </row>
    <row r="453" ht="15" customHeight="1" s="4" customFormat="1">
      <c r="A453" s="4" t="str">
        <f>IF(LEN('Open Positions'!B451)&gt;0,'Open Positions'!B451,"")</f>
      </c>
      <c r="B453" s="4" t="str">
        <f>IF(LEN('CALC'!A453)&gt;0,'Open Positions'!F451,"")</f>
      </c>
      <c r="C453" s="39" t="str">
        <f>IF(LEN(A453)&gt;0,'Open Positions'!Q451,"")</f>
      </c>
      <c r="D453" s="29" t="str">
        <f>IF(LEN(A453)&gt;0,B453*C453,"")</f>
      </c>
    </row>
    <row r="454" ht="15" customHeight="1" s="4" customFormat="1">
      <c r="A454" s="4" t="str">
        <f>IF(LEN('Open Positions'!B452)&gt;0,'Open Positions'!B452,"")</f>
      </c>
      <c r="B454" s="4" t="str">
        <f>IF(LEN('CALC'!A454)&gt;0,'Open Positions'!F452,"")</f>
      </c>
      <c r="C454" s="39" t="str">
        <f>IF(LEN(A454)&gt;0,'Open Positions'!Q452,"")</f>
      </c>
      <c r="D454" s="29" t="str">
        <f>IF(LEN(A454)&gt;0,B454*C454,"")</f>
      </c>
    </row>
    <row r="455" ht="15" customHeight="1" s="4" customFormat="1">
      <c r="A455" s="4" t="str">
        <f>IF(LEN('Open Positions'!B453)&gt;0,'Open Positions'!B453,"")</f>
      </c>
      <c r="B455" s="4" t="str">
        <f>IF(LEN('CALC'!A455)&gt;0,'Open Positions'!F453,"")</f>
      </c>
      <c r="C455" s="39" t="str">
        <f>IF(LEN(A455)&gt;0,'Open Positions'!Q453,"")</f>
      </c>
      <c r="D455" s="29" t="str">
        <f>IF(LEN(A455)&gt;0,B455*C455,"")</f>
      </c>
    </row>
    <row r="456" ht="15" customHeight="1" s="4" customFormat="1">
      <c r="A456" s="4" t="str">
        <f>IF(LEN('Open Positions'!B454)&gt;0,'Open Positions'!B454,"")</f>
      </c>
      <c r="B456" s="4" t="str">
        <f>IF(LEN('CALC'!A456)&gt;0,'Open Positions'!F454,"")</f>
      </c>
      <c r="C456" s="39" t="str">
        <f>IF(LEN(A456)&gt;0,'Open Positions'!Q454,"")</f>
      </c>
      <c r="D456" s="29" t="str">
        <f>IF(LEN(A456)&gt;0,B456*C456,"")</f>
      </c>
    </row>
    <row r="457" ht="15" customHeight="1" s="4" customFormat="1">
      <c r="A457" s="4" t="str">
        <f>IF(LEN('Open Positions'!B455)&gt;0,'Open Positions'!B455,"")</f>
      </c>
      <c r="B457" s="4" t="str">
        <f>IF(LEN('CALC'!A457)&gt;0,'Open Positions'!F455,"")</f>
      </c>
      <c r="C457" s="39" t="str">
        <f>IF(LEN(A457)&gt;0,'Open Positions'!Q455,"")</f>
      </c>
      <c r="D457" s="29" t="str">
        <f>IF(LEN(A457)&gt;0,B457*C457,"")</f>
      </c>
    </row>
    <row r="458" ht="15" customHeight="1" s="4" customFormat="1">
      <c r="A458" s="4" t="str">
        <f>IF(LEN('Open Positions'!B456)&gt;0,'Open Positions'!B456,"")</f>
      </c>
      <c r="B458" s="4" t="str">
        <f>IF(LEN('CALC'!A458)&gt;0,'Open Positions'!F456,"")</f>
      </c>
      <c r="C458" s="39" t="str">
        <f>IF(LEN(A458)&gt;0,'Open Positions'!Q456,"")</f>
      </c>
      <c r="D458" s="29" t="str">
        <f>IF(LEN(A458)&gt;0,B458*C458,"")</f>
      </c>
    </row>
    <row r="459" ht="15" customHeight="1" s="4" customFormat="1">
      <c r="A459" s="4" t="str">
        <f>IF(LEN('Open Positions'!B457)&gt;0,'Open Positions'!B457,"")</f>
      </c>
      <c r="B459" s="4" t="str">
        <f>IF(LEN('CALC'!A459)&gt;0,'Open Positions'!F457,"")</f>
      </c>
      <c r="C459" s="39" t="str">
        <f>IF(LEN(A459)&gt;0,'Open Positions'!Q457,"")</f>
      </c>
      <c r="D459" s="29" t="str">
        <f>IF(LEN(A459)&gt;0,B459*C459,"")</f>
      </c>
    </row>
    <row r="460" ht="15" customHeight="1" s="4" customFormat="1">
      <c r="A460" s="4" t="str">
        <f>IF(LEN('Open Positions'!B458)&gt;0,'Open Positions'!B458,"")</f>
      </c>
      <c r="B460" s="4" t="str">
        <f>IF(LEN('CALC'!A460)&gt;0,'Open Positions'!F458,"")</f>
      </c>
      <c r="C460" s="39" t="str">
        <f>IF(LEN(A460)&gt;0,'Open Positions'!Q458,"")</f>
      </c>
      <c r="D460" s="29" t="str">
        <f>IF(LEN(A460)&gt;0,B460*C460,"")</f>
      </c>
    </row>
    <row r="461" ht="15" customHeight="1" s="4" customFormat="1">
      <c r="A461" s="4" t="str">
        <f>IF(LEN('Open Positions'!B459)&gt;0,'Open Positions'!B459,"")</f>
      </c>
      <c r="B461" s="4" t="str">
        <f>IF(LEN('CALC'!A461)&gt;0,'Open Positions'!F459,"")</f>
      </c>
      <c r="C461" s="39" t="str">
        <f>IF(LEN(A461)&gt;0,'Open Positions'!Q459,"")</f>
      </c>
      <c r="D461" s="29" t="str">
        <f>IF(LEN(A461)&gt;0,B461*C461,"")</f>
      </c>
    </row>
    <row r="462" ht="15" customHeight="1" s="4" customFormat="1">
      <c r="A462" s="4" t="str">
        <f>IF(LEN('Open Positions'!B460)&gt;0,'Open Positions'!B460,"")</f>
      </c>
      <c r="B462" s="4" t="str">
        <f>IF(LEN('CALC'!A462)&gt;0,'Open Positions'!F460,"")</f>
      </c>
      <c r="C462" s="39" t="str">
        <f>IF(LEN(A462)&gt;0,'Open Positions'!Q460,"")</f>
      </c>
      <c r="D462" s="29" t="str">
        <f>IF(LEN(A462)&gt;0,B462*C462,"")</f>
      </c>
    </row>
    <row r="463" ht="15" customHeight="1" s="4" customFormat="1">
      <c r="A463" s="4" t="str">
        <f>IF(LEN('Open Positions'!B461)&gt;0,'Open Positions'!B461,"")</f>
      </c>
      <c r="B463" s="4" t="str">
        <f>IF(LEN('CALC'!A463)&gt;0,'Open Positions'!F461,"")</f>
      </c>
      <c r="C463" s="39" t="str">
        <f>IF(LEN(A463)&gt;0,'Open Positions'!Q461,"")</f>
      </c>
      <c r="D463" s="29" t="str">
        <f>IF(LEN(A463)&gt;0,B463*C463,"")</f>
      </c>
    </row>
    <row r="464" ht="15" customHeight="1" s="4" customFormat="1">
      <c r="A464" s="4" t="str">
        <f>IF(LEN('Open Positions'!B462)&gt;0,'Open Positions'!B462,"")</f>
      </c>
      <c r="B464" s="4" t="str">
        <f>IF(LEN('CALC'!A464)&gt;0,'Open Positions'!F462,"")</f>
      </c>
      <c r="C464" s="39" t="str">
        <f>IF(LEN(A464)&gt;0,'Open Positions'!Q462,"")</f>
      </c>
      <c r="D464" s="29" t="str">
        <f>IF(LEN(A464)&gt;0,B464*C464,"")</f>
      </c>
    </row>
    <row r="465" ht="15" customHeight="1" s="4" customFormat="1">
      <c r="A465" s="4" t="str">
        <f>IF(LEN('Open Positions'!B463)&gt;0,'Open Positions'!B463,"")</f>
      </c>
      <c r="B465" s="4" t="str">
        <f>IF(LEN('CALC'!A465)&gt;0,'Open Positions'!F463,"")</f>
      </c>
      <c r="C465" s="39" t="str">
        <f>IF(LEN(A465)&gt;0,'Open Positions'!Q463,"")</f>
      </c>
      <c r="D465" s="29" t="str">
        <f>IF(LEN(A465)&gt;0,B465*C465,"")</f>
      </c>
    </row>
    <row r="466" ht="15" customHeight="1" s="4" customFormat="1">
      <c r="A466" s="4" t="str">
        <f>IF(LEN('Open Positions'!B464)&gt;0,'Open Positions'!B464,"")</f>
      </c>
      <c r="B466" s="4" t="str">
        <f>IF(LEN('CALC'!A466)&gt;0,'Open Positions'!F464,"")</f>
      </c>
      <c r="C466" s="39" t="str">
        <f>IF(LEN(A466)&gt;0,'Open Positions'!Q464,"")</f>
      </c>
      <c r="D466" s="29" t="str">
        <f>IF(LEN(A466)&gt;0,B466*C466,"")</f>
      </c>
    </row>
    <row r="467" ht="15" customHeight="1" s="4" customFormat="1">
      <c r="A467" s="4" t="str">
        <f>IF(LEN('Open Positions'!B465)&gt;0,'Open Positions'!B465,"")</f>
      </c>
      <c r="B467" s="4" t="str">
        <f>IF(LEN('CALC'!A467)&gt;0,'Open Positions'!F465,"")</f>
      </c>
      <c r="C467" s="39" t="str">
        <f>IF(LEN(A467)&gt;0,'Open Positions'!Q465,"")</f>
      </c>
      <c r="D467" s="29" t="str">
        <f>IF(LEN(A467)&gt;0,B467*C467,"")</f>
      </c>
    </row>
    <row r="468" ht="15" customHeight="1" s="4" customFormat="1">
      <c r="A468" s="4" t="str">
        <f>IF(LEN('Open Positions'!B466)&gt;0,'Open Positions'!B466,"")</f>
      </c>
      <c r="B468" s="4" t="str">
        <f>IF(LEN('CALC'!A468)&gt;0,'Open Positions'!F466,"")</f>
      </c>
      <c r="C468" s="39" t="str">
        <f>IF(LEN(A468)&gt;0,'Open Positions'!Q466,"")</f>
      </c>
      <c r="D468" s="29" t="str">
        <f>IF(LEN(A468)&gt;0,B468*C468,"")</f>
      </c>
    </row>
    <row r="469" ht="15" customHeight="1" s="4" customFormat="1">
      <c r="A469" s="4" t="str">
        <f>IF(LEN('Open Positions'!B467)&gt;0,'Open Positions'!B467,"")</f>
      </c>
      <c r="B469" s="4" t="str">
        <f>IF(LEN('CALC'!A469)&gt;0,'Open Positions'!F467,"")</f>
      </c>
      <c r="C469" s="39" t="str">
        <f>IF(LEN(A469)&gt;0,'Open Positions'!Q467,"")</f>
      </c>
      <c r="D469" s="29" t="str">
        <f>IF(LEN(A469)&gt;0,B469*C469,"")</f>
      </c>
    </row>
    <row r="470" ht="15" customHeight="1" s="4" customFormat="1">
      <c r="A470" s="4" t="str">
        <f>IF(LEN('Open Positions'!B468)&gt;0,'Open Positions'!B468,"")</f>
      </c>
      <c r="B470" s="4" t="str">
        <f>IF(LEN('CALC'!A470)&gt;0,'Open Positions'!F468,"")</f>
      </c>
      <c r="C470" s="39" t="str">
        <f>IF(LEN(A470)&gt;0,'Open Positions'!Q468,"")</f>
      </c>
      <c r="D470" s="29" t="str">
        <f>IF(LEN(A470)&gt;0,B470*C470,"")</f>
      </c>
    </row>
    <row r="471" ht="15" customHeight="1" s="4" customFormat="1">
      <c r="A471" s="4" t="str">
        <f>IF(LEN('Open Positions'!B469)&gt;0,'Open Positions'!B469,"")</f>
      </c>
      <c r="B471" s="4" t="str">
        <f>IF(LEN('CALC'!A471)&gt;0,'Open Positions'!F469,"")</f>
      </c>
      <c r="C471" s="39" t="str">
        <f>IF(LEN(A471)&gt;0,'Open Positions'!Q469,"")</f>
      </c>
      <c r="D471" s="29" t="str">
        <f>IF(LEN(A471)&gt;0,B471*C471,"")</f>
      </c>
    </row>
    <row r="472" ht="15" customHeight="1" s="4" customFormat="1">
      <c r="A472" s="4" t="str">
        <f>IF(LEN('Open Positions'!B470)&gt;0,'Open Positions'!B470,"")</f>
      </c>
      <c r="B472" s="4" t="str">
        <f>IF(LEN('CALC'!A472)&gt;0,'Open Positions'!F470,"")</f>
      </c>
      <c r="C472" s="39" t="str">
        <f>IF(LEN(A472)&gt;0,'Open Positions'!Q470,"")</f>
      </c>
      <c r="D472" s="29" t="str">
        <f>IF(LEN(A472)&gt;0,B472*C472,"")</f>
      </c>
    </row>
    <row r="473" ht="15" customHeight="1" s="4" customFormat="1">
      <c r="A473" s="4" t="str">
        <f>IF(LEN('Open Positions'!B471)&gt;0,'Open Positions'!B471,"")</f>
      </c>
      <c r="B473" s="4" t="str">
        <f>IF(LEN('CALC'!A473)&gt;0,'Open Positions'!F471,"")</f>
      </c>
      <c r="C473" s="39" t="str">
        <f>IF(LEN(A473)&gt;0,'Open Positions'!Q471,"")</f>
      </c>
      <c r="D473" s="29" t="str">
        <f>IF(LEN(A473)&gt;0,B473*C473,"")</f>
      </c>
    </row>
    <row r="474" ht="15" customHeight="1" s="4" customFormat="1">
      <c r="A474" s="4" t="str">
        <f>IF(LEN('Open Positions'!B472)&gt;0,'Open Positions'!B472,"")</f>
      </c>
      <c r="B474" s="4" t="str">
        <f>IF(LEN('CALC'!A474)&gt;0,'Open Positions'!F472,"")</f>
      </c>
      <c r="C474" s="39" t="str">
        <f>IF(LEN(A474)&gt;0,'Open Positions'!Q472,"")</f>
      </c>
      <c r="D474" s="29" t="str">
        <f>IF(LEN(A474)&gt;0,B474*C474,"")</f>
      </c>
    </row>
    <row r="475" ht="15" customHeight="1" s="4" customFormat="1">
      <c r="A475" s="4" t="str">
        <f>IF(LEN('Open Positions'!B473)&gt;0,'Open Positions'!B473,"")</f>
      </c>
      <c r="B475" s="4" t="str">
        <f>IF(LEN('CALC'!A475)&gt;0,'Open Positions'!F473,"")</f>
      </c>
      <c r="C475" s="39" t="str">
        <f>IF(LEN(A475)&gt;0,'Open Positions'!Q473,"")</f>
      </c>
      <c r="D475" s="29" t="str">
        <f>IF(LEN(A475)&gt;0,B475*C475,"")</f>
      </c>
    </row>
    <row r="476" ht="15" customHeight="1" s="4" customFormat="1">
      <c r="A476" s="4" t="str">
        <f>IF(LEN('Open Positions'!B474)&gt;0,'Open Positions'!B474,"")</f>
      </c>
      <c r="B476" s="4" t="str">
        <f>IF(LEN('CALC'!A476)&gt;0,'Open Positions'!F474,"")</f>
      </c>
      <c r="C476" s="39" t="str">
        <f>IF(LEN(A476)&gt;0,'Open Positions'!Q474,"")</f>
      </c>
      <c r="D476" s="29" t="str">
        <f>IF(LEN(A476)&gt;0,B476*C476,"")</f>
      </c>
    </row>
    <row r="477" ht="15" customHeight="1" s="4" customFormat="1">
      <c r="A477" s="4" t="str">
        <f>IF(LEN('Open Positions'!B475)&gt;0,'Open Positions'!B475,"")</f>
      </c>
      <c r="B477" s="4" t="str">
        <f>IF(LEN('CALC'!A477)&gt;0,'Open Positions'!F475,"")</f>
      </c>
      <c r="C477" s="39" t="str">
        <f>IF(LEN(A477)&gt;0,'Open Positions'!Q475,"")</f>
      </c>
      <c r="D477" s="29" t="str">
        <f>IF(LEN(A477)&gt;0,B477*C477,"")</f>
      </c>
    </row>
    <row r="478" ht="15" customHeight="1" s="4" customFormat="1">
      <c r="A478" s="4" t="str">
        <f>IF(LEN('Open Positions'!B476)&gt;0,'Open Positions'!B476,"")</f>
      </c>
      <c r="B478" s="4" t="str">
        <f>IF(LEN('CALC'!A478)&gt;0,'Open Positions'!F476,"")</f>
      </c>
      <c r="C478" s="39" t="str">
        <f>IF(LEN(A478)&gt;0,'Open Positions'!Q476,"")</f>
      </c>
      <c r="D478" s="29" t="str">
        <f>IF(LEN(A478)&gt;0,B478*C478,"")</f>
      </c>
    </row>
    <row r="479" ht="15" customHeight="1" s="4" customFormat="1">
      <c r="A479" s="4" t="str">
        <f>IF(LEN('Open Positions'!B477)&gt;0,'Open Positions'!B477,"")</f>
      </c>
      <c r="B479" s="4" t="str">
        <f>IF(LEN('CALC'!A479)&gt;0,'Open Positions'!F477,"")</f>
      </c>
      <c r="C479" s="39" t="str">
        <f>IF(LEN(A479)&gt;0,'Open Positions'!Q477,"")</f>
      </c>
      <c r="D479" s="29" t="str">
        <f>IF(LEN(A479)&gt;0,B479*C479,"")</f>
      </c>
    </row>
    <row r="480" ht="15" customHeight="1" s="4" customFormat="1">
      <c r="A480" s="4" t="str">
        <f>IF(LEN('Open Positions'!B478)&gt;0,'Open Positions'!B478,"")</f>
      </c>
      <c r="B480" s="4" t="str">
        <f>IF(LEN('CALC'!A480)&gt;0,'Open Positions'!F478,"")</f>
      </c>
      <c r="C480" s="39" t="str">
        <f>IF(LEN(A480)&gt;0,'Open Positions'!Q478,"")</f>
      </c>
      <c r="D480" s="29" t="str">
        <f>IF(LEN(A480)&gt;0,B480*C480,"")</f>
      </c>
    </row>
    <row r="481" ht="15" customHeight="1" s="4" customFormat="1">
      <c r="A481" s="4" t="str">
        <f>IF(LEN('Open Positions'!B479)&gt;0,'Open Positions'!B479,"")</f>
      </c>
      <c r="B481" s="4" t="str">
        <f>IF(LEN('CALC'!A481)&gt;0,'Open Positions'!F479,"")</f>
      </c>
      <c r="C481" s="39" t="str">
        <f>IF(LEN(A481)&gt;0,'Open Positions'!Q479,"")</f>
      </c>
      <c r="D481" s="29" t="str">
        <f>IF(LEN(A481)&gt;0,B481*C481,"")</f>
      </c>
    </row>
    <row r="482" ht="15" customHeight="1" s="4" customFormat="1">
      <c r="A482" s="4" t="str">
        <f>IF(LEN('Open Positions'!B480)&gt;0,'Open Positions'!B480,"")</f>
      </c>
      <c r="B482" s="4" t="str">
        <f>IF(LEN('CALC'!A482)&gt;0,'Open Positions'!F480,"")</f>
      </c>
      <c r="C482" s="39" t="str">
        <f>IF(LEN(A482)&gt;0,'Open Positions'!Q480,"")</f>
      </c>
      <c r="D482" s="29" t="str">
        <f>IF(LEN(A482)&gt;0,B482*C482,"")</f>
      </c>
    </row>
    <row r="483" ht="15" customHeight="1" s="4" customFormat="1">
      <c r="A483" s="4" t="str">
        <f>IF(LEN('Open Positions'!B481)&gt;0,'Open Positions'!B481,"")</f>
      </c>
      <c r="B483" s="4" t="str">
        <f>IF(LEN('CALC'!A483)&gt;0,'Open Positions'!F481,"")</f>
      </c>
      <c r="C483" s="39" t="str">
        <f>IF(LEN(A483)&gt;0,'Open Positions'!Q481,"")</f>
      </c>
      <c r="D483" s="29" t="str">
        <f>IF(LEN(A483)&gt;0,B483*C483,"")</f>
      </c>
    </row>
    <row r="484" ht="15" customHeight="1" s="4" customFormat="1">
      <c r="A484" s="4" t="str">
        <f>IF(LEN('Open Positions'!B482)&gt;0,'Open Positions'!B482,"")</f>
      </c>
      <c r="B484" s="4" t="str">
        <f>IF(LEN('CALC'!A484)&gt;0,'Open Positions'!F482,"")</f>
      </c>
      <c r="C484" s="39" t="str">
        <f>IF(LEN(A484)&gt;0,'Open Positions'!Q482,"")</f>
      </c>
      <c r="D484" s="29" t="str">
        <f>IF(LEN(A484)&gt;0,B484*C484,"")</f>
      </c>
    </row>
    <row r="485" ht="15" customHeight="1" s="4" customFormat="1">
      <c r="A485" s="4" t="str">
        <f>IF(LEN('Open Positions'!B483)&gt;0,'Open Positions'!B483,"")</f>
      </c>
      <c r="B485" s="4" t="str">
        <f>IF(LEN('CALC'!A485)&gt;0,'Open Positions'!F483,"")</f>
      </c>
      <c r="C485" s="39" t="str">
        <f>IF(LEN(A485)&gt;0,'Open Positions'!Q483,"")</f>
      </c>
      <c r="D485" s="29" t="str">
        <f>IF(LEN(A485)&gt;0,B485*C485,"")</f>
      </c>
    </row>
    <row r="486" ht="15" customHeight="1" s="4" customFormat="1">
      <c r="A486" s="4" t="str">
        <f>IF(LEN('Open Positions'!B484)&gt;0,'Open Positions'!B484,"")</f>
      </c>
      <c r="B486" s="4" t="str">
        <f>IF(LEN('CALC'!A486)&gt;0,'Open Positions'!F484,"")</f>
      </c>
      <c r="C486" s="39" t="str">
        <f>IF(LEN(A486)&gt;0,'Open Positions'!Q484,"")</f>
      </c>
      <c r="D486" s="29" t="str">
        <f>IF(LEN(A486)&gt;0,B486*C486,"")</f>
      </c>
    </row>
    <row r="487" ht="15" customHeight="1" s="4" customFormat="1">
      <c r="A487" s="4" t="str">
        <f>IF(LEN('Open Positions'!B485)&gt;0,'Open Positions'!B485,"")</f>
      </c>
      <c r="B487" s="4" t="str">
        <f>IF(LEN('CALC'!A487)&gt;0,'Open Positions'!F485,"")</f>
      </c>
      <c r="C487" s="39" t="str">
        <f>IF(LEN(A487)&gt;0,'Open Positions'!Q485,"")</f>
      </c>
      <c r="D487" s="29" t="str">
        <f>IF(LEN(A487)&gt;0,B487*C487,"")</f>
      </c>
    </row>
    <row r="488" ht="15" customHeight="1" s="4" customFormat="1">
      <c r="A488" s="4" t="str">
        <f>IF(LEN('Open Positions'!B486)&gt;0,'Open Positions'!B486,"")</f>
      </c>
      <c r="B488" s="4" t="str">
        <f>IF(LEN('CALC'!A488)&gt;0,'Open Positions'!F486,"")</f>
      </c>
      <c r="C488" s="39" t="str">
        <f>IF(LEN(A488)&gt;0,'Open Positions'!Q486,"")</f>
      </c>
      <c r="D488" s="29" t="str">
        <f>IF(LEN(A488)&gt;0,B488*C488,"")</f>
      </c>
    </row>
    <row r="489" ht="15" customHeight="1" s="4" customFormat="1">
      <c r="A489" s="4" t="str">
        <f>IF(LEN('Open Positions'!B487)&gt;0,'Open Positions'!B487,"")</f>
      </c>
      <c r="B489" s="4" t="str">
        <f>IF(LEN('CALC'!A489)&gt;0,'Open Positions'!F487,"")</f>
      </c>
      <c r="C489" s="39" t="str">
        <f>IF(LEN(A489)&gt;0,'Open Positions'!Q487,"")</f>
      </c>
      <c r="D489" s="29" t="str">
        <f>IF(LEN(A489)&gt;0,B489*C489,"")</f>
      </c>
    </row>
    <row r="490" ht="15" customHeight="1" s="4" customFormat="1">
      <c r="A490" s="4" t="str">
        <f>IF(LEN('Open Positions'!B488)&gt;0,'Open Positions'!B488,"")</f>
      </c>
      <c r="B490" s="4" t="str">
        <f>IF(LEN('CALC'!A490)&gt;0,'Open Positions'!F488,"")</f>
      </c>
      <c r="C490" s="39" t="str">
        <f>IF(LEN(A490)&gt;0,'Open Positions'!Q488,"")</f>
      </c>
      <c r="D490" s="29" t="str">
        <f>IF(LEN(A490)&gt;0,B490*C490,"")</f>
      </c>
    </row>
    <row r="491" ht="15" customHeight="1" s="4" customFormat="1">
      <c r="A491" s="4" t="str">
        <f>IF(LEN('Open Positions'!B489)&gt;0,'Open Positions'!B489,"")</f>
      </c>
      <c r="B491" s="4" t="str">
        <f>IF(LEN('CALC'!A491)&gt;0,'Open Positions'!F489,"")</f>
      </c>
      <c r="C491" s="39" t="str">
        <f>IF(LEN(A491)&gt;0,'Open Positions'!Q489,"")</f>
      </c>
      <c r="D491" s="29" t="str">
        <f>IF(LEN(A491)&gt;0,B491*C491,"")</f>
      </c>
    </row>
    <row r="492" ht="15" customHeight="1" s="4" customFormat="1">
      <c r="A492" s="4" t="str">
        <f>IF(LEN('Open Positions'!B490)&gt;0,'Open Positions'!B490,"")</f>
      </c>
      <c r="B492" s="4" t="str">
        <f>IF(LEN('CALC'!A492)&gt;0,'Open Positions'!F490,"")</f>
      </c>
      <c r="C492" s="39" t="str">
        <f>IF(LEN(A492)&gt;0,'Open Positions'!Q490,"")</f>
      </c>
      <c r="D492" s="29" t="str">
        <f>IF(LEN(A492)&gt;0,B492*C492,"")</f>
      </c>
    </row>
    <row r="493" ht="15" customHeight="1" s="4" customFormat="1">
      <c r="A493" s="4" t="str">
        <f>IF(LEN('Open Positions'!B491)&gt;0,'Open Positions'!B491,"")</f>
      </c>
      <c r="B493" s="4" t="str">
        <f>IF(LEN('CALC'!A493)&gt;0,'Open Positions'!F491,"")</f>
      </c>
      <c r="C493" s="39" t="str">
        <f>IF(LEN(A493)&gt;0,'Open Positions'!Q491,"")</f>
      </c>
      <c r="D493" s="29" t="str">
        <f>IF(LEN(A493)&gt;0,B493*C493,"")</f>
      </c>
    </row>
    <row r="494" ht="15" customHeight="1" s="4" customFormat="1">
      <c r="A494" s="4" t="str">
        <f>IF(LEN('Open Positions'!B492)&gt;0,'Open Positions'!B492,"")</f>
      </c>
      <c r="B494" s="4" t="str">
        <f>IF(LEN('CALC'!A494)&gt;0,'Open Positions'!F492,"")</f>
      </c>
      <c r="C494" s="39" t="str">
        <f>IF(LEN(A494)&gt;0,'Open Positions'!Q492,"")</f>
      </c>
      <c r="D494" s="29" t="str">
        <f>IF(LEN(A494)&gt;0,B494*C494,"")</f>
      </c>
    </row>
    <row r="495" ht="15" customHeight="1" s="4" customFormat="1">
      <c r="A495" s="4" t="str">
        <f>IF(LEN('Open Positions'!B493)&gt;0,'Open Positions'!B493,"")</f>
      </c>
      <c r="B495" s="4" t="str">
        <f>IF(LEN('CALC'!A495)&gt;0,'Open Positions'!F493,"")</f>
      </c>
      <c r="C495" s="39" t="str">
        <f>IF(LEN(A495)&gt;0,'Open Positions'!Q493,"")</f>
      </c>
      <c r="D495" s="29" t="str">
        <f>IF(LEN(A495)&gt;0,B495*C495,"")</f>
      </c>
    </row>
    <row r="496" ht="15" customHeight="1" s="4" customFormat="1">
      <c r="A496" s="4" t="str">
        <f>IF(LEN('Open Positions'!B494)&gt;0,'Open Positions'!B494,"")</f>
      </c>
      <c r="B496" s="4" t="str">
        <f>IF(LEN('CALC'!A496)&gt;0,'Open Positions'!F494,"")</f>
      </c>
      <c r="C496" s="39" t="str">
        <f>IF(LEN(A496)&gt;0,'Open Positions'!Q494,"")</f>
      </c>
      <c r="D496" s="29" t="str">
        <f>IF(LEN(A496)&gt;0,B496*C496,"")</f>
      </c>
    </row>
    <row r="497" ht="15" customHeight="1" s="4" customFormat="1">
      <c r="A497" s="4" t="str">
        <f>IF(LEN('Open Positions'!B495)&gt;0,'Open Positions'!B495,"")</f>
      </c>
      <c r="B497" s="4" t="str">
        <f>IF(LEN('CALC'!A497)&gt;0,'Open Positions'!F495,"")</f>
      </c>
      <c r="C497" s="39" t="str">
        <f>IF(LEN(A497)&gt;0,'Open Positions'!Q495,"")</f>
      </c>
      <c r="D497" s="29" t="str">
        <f>IF(LEN(A497)&gt;0,B497*C497,"")</f>
      </c>
    </row>
    <row r="498" ht="15" customHeight="1" s="4" customFormat="1">
      <c r="A498" s="4" t="str">
        <f>IF(LEN('Open Positions'!B496)&gt;0,'Open Positions'!B496,"")</f>
      </c>
      <c r="B498" s="4" t="str">
        <f>IF(LEN('CALC'!A498)&gt;0,'Open Positions'!F496,"")</f>
      </c>
      <c r="C498" s="39" t="str">
        <f>IF(LEN(A498)&gt;0,'Open Positions'!Q496,"")</f>
      </c>
      <c r="D498" s="29" t="str">
        <f>IF(LEN(A498)&gt;0,B498*C498,"")</f>
      </c>
    </row>
    <row r="499" ht="15" customHeight="1" s="4" customFormat="1">
      <c r="A499" s="4" t="str">
        <f>IF(LEN('Open Positions'!B497)&gt;0,'Open Positions'!B497,"")</f>
      </c>
      <c r="B499" s="4" t="str">
        <f>IF(LEN('CALC'!A499)&gt;0,'Open Positions'!F497,"")</f>
      </c>
      <c r="C499" s="39" t="str">
        <f>IF(LEN(A499)&gt;0,'Open Positions'!Q497,"")</f>
      </c>
      <c r="D499" s="29" t="str">
        <f>IF(LEN(A499)&gt;0,B499*C499,"")</f>
      </c>
    </row>
    <row r="500" ht="15" customHeight="1" s="4" customFormat="1">
      <c r="A500" s="4" t="str">
        <f>IF(LEN('Open Positions'!B498)&gt;0,'Open Positions'!B498,"")</f>
      </c>
      <c r="B500" s="4" t="str">
        <f>IF(LEN('CALC'!A500)&gt;0,'Open Positions'!F498,"")</f>
      </c>
      <c r="C500" s="39" t="str">
        <f>IF(LEN(A500)&gt;0,'Open Positions'!Q498,"")</f>
      </c>
      <c r="D500" s="29" t="str">
        <f>IF(LEN(A500)&gt;0,B500*C500,"")</f>
      </c>
    </row>
    <row r="501" ht="15" customHeight="1" s="4" customFormat="1">
      <c r="A501" s="4" t="str">
        <f>IF(LEN('Open Positions'!B499)&gt;0,'Open Positions'!B499,"")</f>
      </c>
      <c r="B501" s="4" t="str">
        <f>IF(LEN('CALC'!A501)&gt;0,'Open Positions'!F499,"")</f>
      </c>
      <c r="C501" s="39" t="str">
        <f>IF(LEN(A501)&gt;0,'Open Positions'!Q499,"")</f>
      </c>
      <c r="D501" s="29" t="str">
        <f>IF(LEN(A501)&gt;0,B501*C501,"")</f>
      </c>
    </row>
    <row r="502" ht="15" customHeight="1" s="4" customFormat="1">
      <c r="A502" s="4" t="str">
        <f>IF(LEN('Open Positions'!B500)&gt;0,'Open Positions'!B500,"")</f>
      </c>
      <c r="B502" s="4" t="str">
        <f>IF(LEN('CALC'!A502)&gt;0,'Open Positions'!F500,"")</f>
      </c>
      <c r="C502" s="39" t="str">
        <f>IF(LEN(A502)&gt;0,'Open Positions'!Q500,"")</f>
      </c>
      <c r="D502" s="29" t="str">
        <f>IF(LEN(A502)&gt;0,B502*C502,"")</f>
      </c>
    </row>
    <row r="503" ht="15" customHeight="1" s="4" customFormat="1">
      <c r="A503" s="4" t="str">
        <f>IF(LEN('Open Positions'!B501)&gt;0,'Open Positions'!B501,"")</f>
      </c>
      <c r="B503" s="4" t="str">
        <f>IF(LEN('CALC'!A503)&gt;0,'Open Positions'!F501,"")</f>
      </c>
      <c r="C503" s="39" t="str">
        <f>IF(LEN(A503)&gt;0,'Open Positions'!Q501,"")</f>
      </c>
      <c r="D503" s="29" t="str">
        <f>IF(LEN(A503)&gt;0,B503*C503,"")</f>
      </c>
    </row>
    <row r="504" ht="15" customHeight="1" s="4" customFormat="1">
      <c r="A504" s="4" t="str">
        <f>IF(LEN('Open Positions'!B502)&gt;0,'Open Positions'!B502,"")</f>
      </c>
      <c r="B504" s="4" t="str">
        <f>IF(LEN('CALC'!A504)&gt;0,'Open Positions'!F502,"")</f>
      </c>
      <c r="C504" s="39" t="str">
        <f>IF(LEN(A504)&gt;0,'Open Positions'!Q502,"")</f>
      </c>
      <c r="D504" s="29" t="str">
        <f>IF(LEN(A504)&gt;0,B504*C504,"")</f>
      </c>
    </row>
    <row r="505" ht="15" customHeight="1" s="4" customFormat="1">
      <c r="A505" s="4" t="str">
        <f>IF(LEN('Open Positions'!B503)&gt;0,'Open Positions'!B503,"")</f>
      </c>
      <c r="B505" s="4" t="str">
        <f>IF(LEN('CALC'!A505)&gt;0,'Open Positions'!F503,"")</f>
      </c>
      <c r="C505" s="39" t="str">
        <f>IF(LEN(A505)&gt;0,'Open Positions'!Q503,"")</f>
      </c>
      <c r="D505" s="29" t="str">
        <f>IF(LEN(A505)&gt;0,B505*C505,"")</f>
      </c>
    </row>
    <row r="506" ht="15" customHeight="1" s="4" customFormat="1">
      <c r="A506" s="4" t="str">
        <f>IF(LEN('Open Positions'!B504)&gt;0,'Open Positions'!B504,"")</f>
      </c>
      <c r="B506" s="4" t="str">
        <f>IF(LEN('CALC'!A506)&gt;0,'Open Positions'!F504,"")</f>
      </c>
      <c r="C506" s="39" t="str">
        <f>IF(LEN(A506)&gt;0,'Open Positions'!Q504,"")</f>
      </c>
      <c r="D506" s="29" t="str">
        <f>IF(LEN(A506)&gt;0,B506*C506,"")</f>
      </c>
    </row>
    <row r="507" ht="15" customHeight="1" s="4" customFormat="1">
      <c r="A507" s="4" t="str">
        <f>IF(LEN('Open Positions'!B505)&gt;0,'Open Positions'!B505,"")</f>
      </c>
      <c r="B507" s="4" t="str">
        <f>IF(LEN('CALC'!A507)&gt;0,'Open Positions'!F505,"")</f>
      </c>
      <c r="C507" s="39" t="str">
        <f>IF(LEN(A507)&gt;0,'Open Positions'!Q505,"")</f>
      </c>
      <c r="D507" s="29" t="str">
        <f>IF(LEN(A507)&gt;0,B507*C507,"")</f>
      </c>
    </row>
    <row r="508" ht="15" customHeight="1" s="4" customFormat="1">
      <c r="A508" s="4" t="str">
        <f>IF(LEN('Open Positions'!B506)&gt;0,'Open Positions'!B506,"")</f>
      </c>
      <c r="B508" s="4" t="str">
        <f>IF(LEN('CALC'!A508)&gt;0,'Open Positions'!F506,"")</f>
      </c>
      <c r="C508" s="39" t="str">
        <f>IF(LEN(A508)&gt;0,'Open Positions'!Q506,"")</f>
      </c>
      <c r="D508" s="29" t="str">
        <f>IF(LEN(A508)&gt;0,B508*C508,"")</f>
      </c>
    </row>
    <row r="509" ht="15" customHeight="1" s="4" customFormat="1">
      <c r="A509" s="4" t="str">
        <f>IF(LEN('Open Positions'!B507)&gt;0,'Open Positions'!B507,"")</f>
      </c>
      <c r="B509" s="4" t="str">
        <f>IF(LEN('CALC'!A509)&gt;0,'Open Positions'!F507,"")</f>
      </c>
      <c r="C509" s="39" t="str">
        <f>IF(LEN(A509)&gt;0,'Open Positions'!Q507,"")</f>
      </c>
      <c r="D509" s="29" t="str">
        <f>IF(LEN(A509)&gt;0,B509*C509,"")</f>
      </c>
    </row>
    <row r="510" ht="15" customHeight="1" s="4" customFormat="1">
      <c r="A510" s="4" t="str">
        <f>IF(LEN('Open Positions'!B508)&gt;0,'Open Positions'!B508,"")</f>
      </c>
      <c r="B510" s="4" t="str">
        <f>IF(LEN('CALC'!A510)&gt;0,'Open Positions'!F508,"")</f>
      </c>
      <c r="C510" s="39" t="str">
        <f>IF(LEN(A510)&gt;0,'Open Positions'!Q508,"")</f>
      </c>
      <c r="D510" s="29" t="str">
        <f>IF(LEN(A510)&gt;0,B510*C510,"")</f>
      </c>
    </row>
    <row r="511" ht="15" customHeight="1" s="4" customFormat="1">
      <c r="A511" s="4" t="str">
        <f>IF(LEN('Open Positions'!B509)&gt;0,'Open Positions'!B509,"")</f>
      </c>
      <c r="B511" s="4" t="str">
        <f>IF(LEN('CALC'!A511)&gt;0,'Open Positions'!F509,"")</f>
      </c>
      <c r="C511" s="39" t="str">
        <f>IF(LEN(A511)&gt;0,'Open Positions'!Q509,"")</f>
      </c>
      <c r="D511" s="29" t="str">
        <f>IF(LEN(A511)&gt;0,B511*C511,"")</f>
      </c>
    </row>
    <row r="512" ht="15" customHeight="1" s="4" customFormat="1">
      <c r="A512" s="4" t="str">
        <f>IF(LEN('Open Positions'!B510)&gt;0,'Open Positions'!B510,"")</f>
      </c>
      <c r="B512" s="4" t="str">
        <f>IF(LEN('CALC'!A512)&gt;0,'Open Positions'!F510,"")</f>
      </c>
      <c r="C512" s="39" t="str">
        <f>IF(LEN(A512)&gt;0,'Open Positions'!Q510,"")</f>
      </c>
      <c r="D512" s="29" t="str">
        <f>IF(LEN(A512)&gt;0,B512*C512,"")</f>
      </c>
    </row>
    <row r="513" ht="15" customHeight="1" s="4" customFormat="1">
      <c r="A513" s="4" t="str">
        <f>IF(LEN('Open Positions'!B511)&gt;0,'Open Positions'!B511,"")</f>
      </c>
      <c r="B513" s="4" t="str">
        <f>IF(LEN('CALC'!A513)&gt;0,'Open Positions'!F511,"")</f>
      </c>
      <c r="C513" s="39" t="str">
        <f>IF(LEN(A513)&gt;0,'Open Positions'!Q511,"")</f>
      </c>
      <c r="D513" s="29" t="str">
        <f>IF(LEN(A513)&gt;0,B513*C513,"")</f>
      </c>
    </row>
    <row r="514" ht="15" customHeight="1" s="4" customFormat="1">
      <c r="A514" s="4" t="str">
        <f>IF(LEN('Open Positions'!B512)&gt;0,'Open Positions'!B512,"")</f>
      </c>
      <c r="B514" s="4" t="str">
        <f>IF(LEN('CALC'!A514)&gt;0,'Open Positions'!F512,"")</f>
      </c>
      <c r="C514" s="39" t="str">
        <f>IF(LEN(A514)&gt;0,'Open Positions'!Q512,"")</f>
      </c>
      <c r="D514" s="29" t="str">
        <f>IF(LEN(A514)&gt;0,B514*C514,"")</f>
      </c>
    </row>
    <row r="515" ht="15" customHeight="1" s="4" customFormat="1">
      <c r="A515" s="4" t="str">
        <f>IF(LEN('Open Positions'!B513)&gt;0,'Open Positions'!B513,"")</f>
      </c>
      <c r="B515" s="4" t="str">
        <f>IF(LEN('CALC'!A515)&gt;0,'Open Positions'!F513,"")</f>
      </c>
      <c r="C515" s="39" t="str">
        <f>IF(LEN(A515)&gt;0,'Open Positions'!Q513,"")</f>
      </c>
      <c r="D515" s="29" t="str">
        <f>IF(LEN(A515)&gt;0,B515*C515,"")</f>
      </c>
    </row>
    <row r="516" ht="15" customHeight="1" s="4" customFormat="1">
      <c r="A516" s="4" t="str">
        <f>IF(LEN('Open Positions'!B514)&gt;0,'Open Positions'!B514,"")</f>
      </c>
      <c r="B516" s="4" t="str">
        <f>IF(LEN('CALC'!A516)&gt;0,'Open Positions'!F514,"")</f>
      </c>
      <c r="C516" s="39" t="str">
        <f>IF(LEN(A516)&gt;0,'Open Positions'!Q514,"")</f>
      </c>
      <c r="D516" s="29" t="str">
        <f>IF(LEN(A516)&gt;0,B516*C516,"")</f>
      </c>
    </row>
    <row r="517" ht="15" customHeight="1" s="4" customFormat="1">
      <c r="A517" s="4" t="str">
        <f>IF(LEN('Open Positions'!B515)&gt;0,'Open Positions'!B515,"")</f>
      </c>
      <c r="B517" s="4" t="str">
        <f>IF(LEN('CALC'!A517)&gt;0,'Open Positions'!F515,"")</f>
      </c>
      <c r="C517" s="39" t="str">
        <f>IF(LEN(A517)&gt;0,'Open Positions'!Q515,"")</f>
      </c>
      <c r="D517" s="29" t="str">
        <f>IF(LEN(A517)&gt;0,B517*C517,"")</f>
      </c>
    </row>
    <row r="518" ht="15" customHeight="1" s="4" customFormat="1">
      <c r="A518" s="4" t="str">
        <f>IF(LEN('Open Positions'!B516)&gt;0,'Open Positions'!B516,"")</f>
      </c>
      <c r="B518" s="4" t="str">
        <f>IF(LEN('CALC'!A518)&gt;0,'Open Positions'!F516,"")</f>
      </c>
      <c r="C518" s="39" t="str">
        <f>IF(LEN(A518)&gt;0,'Open Positions'!Q516,"")</f>
      </c>
      <c r="D518" s="29" t="str">
        <f>IF(LEN(A518)&gt;0,B518*C518,"")</f>
      </c>
    </row>
    <row r="519" ht="15" customHeight="1" s="4" customFormat="1">
      <c r="A519" s="4" t="str">
        <f>IF(LEN('Open Positions'!B517)&gt;0,'Open Positions'!B517,"")</f>
      </c>
      <c r="B519" s="4" t="str">
        <f>IF(LEN('CALC'!A519)&gt;0,'Open Positions'!F517,"")</f>
      </c>
      <c r="C519" s="39" t="str">
        <f>IF(LEN(A519)&gt;0,'Open Positions'!Q517,"")</f>
      </c>
      <c r="D519" s="29" t="str">
        <f>IF(LEN(A519)&gt;0,B519*C519,"")</f>
      </c>
    </row>
    <row r="520" ht="15" customHeight="1" s="4" customFormat="1">
      <c r="A520" s="4" t="str">
        <f>IF(LEN('Open Positions'!B518)&gt;0,'Open Positions'!B518,"")</f>
      </c>
      <c r="B520" s="4" t="str">
        <f>IF(LEN('CALC'!A520)&gt;0,'Open Positions'!F518,"")</f>
      </c>
      <c r="C520" s="39" t="str">
        <f>IF(LEN(A520)&gt;0,'Open Positions'!Q518,"")</f>
      </c>
      <c r="D520" s="29" t="str">
        <f>IF(LEN(A520)&gt;0,B520*C520,"")</f>
      </c>
    </row>
    <row r="521" ht="15" customHeight="1" s="4" customFormat="1">
      <c r="A521" s="4" t="str">
        <f>IF(LEN('Open Positions'!B519)&gt;0,'Open Positions'!B519,"")</f>
      </c>
      <c r="B521" s="4" t="str">
        <f>IF(LEN('CALC'!A521)&gt;0,'Open Positions'!F519,"")</f>
      </c>
      <c r="C521" s="39" t="str">
        <f>IF(LEN(A521)&gt;0,'Open Positions'!Q519,"")</f>
      </c>
      <c r="D521" s="29" t="str">
        <f>IF(LEN(A521)&gt;0,B521*C521,"")</f>
      </c>
    </row>
    <row r="522" ht="15" customHeight="1" s="4" customFormat="1">
      <c r="A522" s="4" t="str">
        <f>IF(LEN('Open Positions'!B520)&gt;0,'Open Positions'!B520,"")</f>
      </c>
      <c r="B522" s="4" t="str">
        <f>IF(LEN('CALC'!A522)&gt;0,'Open Positions'!F520,"")</f>
      </c>
      <c r="C522" s="39" t="str">
        <f>IF(LEN(A522)&gt;0,'Open Positions'!Q520,"")</f>
      </c>
      <c r="D522" s="29" t="str">
        <f>IF(LEN(A522)&gt;0,B522*C522,"")</f>
      </c>
    </row>
    <row r="523" ht="15" customHeight="1" s="4" customFormat="1">
      <c r="A523" s="4" t="str">
        <f>IF(LEN('Open Positions'!B521)&gt;0,'Open Positions'!B521,"")</f>
      </c>
      <c r="B523" s="4" t="str">
        <f>IF(LEN('CALC'!A523)&gt;0,'Open Positions'!F521,"")</f>
      </c>
      <c r="C523" s="39" t="str">
        <f>IF(LEN(A523)&gt;0,'Open Positions'!Q521,"")</f>
      </c>
      <c r="D523" s="29" t="str">
        <f>IF(LEN(A523)&gt;0,B523*C523,"")</f>
      </c>
    </row>
    <row r="524" ht="15" customHeight="1" s="4" customFormat="1">
      <c r="A524" s="4" t="str">
        <f>IF(LEN('Open Positions'!B522)&gt;0,'Open Positions'!B522,"")</f>
      </c>
      <c r="B524" s="4" t="str">
        <f>IF(LEN('CALC'!A524)&gt;0,'Open Positions'!F522,"")</f>
      </c>
      <c r="C524" s="39" t="str">
        <f>IF(LEN(A524)&gt;0,'Open Positions'!Q522,"")</f>
      </c>
      <c r="D524" s="29" t="str">
        <f>IF(LEN(A524)&gt;0,B524*C524,"")</f>
      </c>
    </row>
    <row r="525" ht="15" customHeight="1" s="4" customFormat="1">
      <c r="A525" s="4" t="str">
        <f>IF(LEN('Open Positions'!B523)&gt;0,'Open Positions'!B523,"")</f>
      </c>
      <c r="B525" s="4" t="str">
        <f>IF(LEN('CALC'!A525)&gt;0,'Open Positions'!F523,"")</f>
      </c>
      <c r="C525" s="39" t="str">
        <f>IF(LEN(A525)&gt;0,'Open Positions'!Q523,"")</f>
      </c>
      <c r="D525" s="29" t="str">
        <f>IF(LEN(A525)&gt;0,B525*C525,"")</f>
      </c>
    </row>
    <row r="526" ht="15" customHeight="1" s="4" customFormat="1">
      <c r="A526" s="4" t="str">
        <f>IF(LEN('Open Positions'!B524)&gt;0,'Open Positions'!B524,"")</f>
      </c>
      <c r="B526" s="4" t="str">
        <f>IF(LEN('CALC'!A526)&gt;0,'Open Positions'!F524,"")</f>
      </c>
      <c r="C526" s="39" t="str">
        <f>IF(LEN(A526)&gt;0,'Open Positions'!Q524,"")</f>
      </c>
      <c r="D526" s="29" t="str">
        <f>IF(LEN(A526)&gt;0,B526*C526,"")</f>
      </c>
    </row>
    <row r="527" ht="15" customHeight="1" s="4" customFormat="1">
      <c r="A527" s="4" t="str">
        <f>IF(LEN('Open Positions'!B525)&gt;0,'Open Positions'!B525,"")</f>
      </c>
      <c r="B527" s="4" t="str">
        <f>IF(LEN('CALC'!A527)&gt;0,'Open Positions'!F525,"")</f>
      </c>
      <c r="C527" s="39" t="str">
        <f>IF(LEN(A527)&gt;0,'Open Positions'!Q525,"")</f>
      </c>
      <c r="D527" s="29" t="str">
        <f>IF(LEN(A527)&gt;0,B527*C527,"")</f>
      </c>
    </row>
    <row r="528" ht="15" customHeight="1" s="4" customFormat="1">
      <c r="A528" s="4" t="str">
        <f>IF(LEN('Open Positions'!B526)&gt;0,'Open Positions'!B526,"")</f>
      </c>
      <c r="B528" s="4" t="str">
        <f>IF(LEN('CALC'!A528)&gt;0,'Open Positions'!F526,"")</f>
      </c>
      <c r="C528" s="39" t="str">
        <f>IF(LEN(A528)&gt;0,'Open Positions'!Q526,"")</f>
      </c>
      <c r="D528" s="29" t="str">
        <f>IF(LEN(A528)&gt;0,B528*C528,"")</f>
      </c>
    </row>
    <row r="529" ht="15" customHeight="1" s="4" customFormat="1">
      <c r="A529" s="4" t="str">
        <f>IF(LEN('Open Positions'!B527)&gt;0,'Open Positions'!B527,"")</f>
      </c>
      <c r="B529" s="4" t="str">
        <f>IF(LEN('CALC'!A529)&gt;0,'Open Positions'!F527,"")</f>
      </c>
      <c r="C529" s="39" t="str">
        <f>IF(LEN(A529)&gt;0,'Open Positions'!Q527,"")</f>
      </c>
      <c r="D529" s="29" t="str">
        <f>IF(LEN(A529)&gt;0,B529*C529,"")</f>
      </c>
    </row>
    <row r="530" ht="15" customHeight="1" s="4" customFormat="1">
      <c r="A530" s="4" t="str">
        <f>IF(LEN('Open Positions'!B528)&gt;0,'Open Positions'!B528,"")</f>
      </c>
      <c r="B530" s="4" t="str">
        <f>IF(LEN('CALC'!A530)&gt;0,'Open Positions'!F528,"")</f>
      </c>
      <c r="C530" s="39" t="str">
        <f>IF(LEN(A530)&gt;0,'Open Positions'!Q528,"")</f>
      </c>
      <c r="D530" s="29" t="str">
        <f>IF(LEN(A530)&gt;0,B530*C530,"")</f>
      </c>
    </row>
    <row r="531" ht="15" customHeight="1" s="4" customFormat="1">
      <c r="A531" s="4" t="str">
        <f>IF(LEN('Open Positions'!B529)&gt;0,'Open Positions'!B529,"")</f>
      </c>
      <c r="B531" s="4" t="str">
        <f>IF(LEN('CALC'!A531)&gt;0,'Open Positions'!F529,"")</f>
      </c>
      <c r="C531" s="39" t="str">
        <f>IF(LEN(A531)&gt;0,'Open Positions'!Q529,"")</f>
      </c>
      <c r="D531" s="29" t="str">
        <f>IF(LEN(A531)&gt;0,B531*C531,"")</f>
      </c>
    </row>
    <row r="532" ht="15" customHeight="1" s="4" customFormat="1">
      <c r="A532" s="4" t="str">
        <f>IF(LEN('Open Positions'!B530)&gt;0,'Open Positions'!B530,"")</f>
      </c>
      <c r="B532" s="4" t="str">
        <f>IF(LEN('CALC'!A532)&gt;0,'Open Positions'!F530,"")</f>
      </c>
      <c r="C532" s="39" t="str">
        <f>IF(LEN(A532)&gt;0,'Open Positions'!Q530,"")</f>
      </c>
      <c r="D532" s="29" t="str">
        <f>IF(LEN(A532)&gt;0,B532*C532,"")</f>
      </c>
    </row>
    <row r="533" ht="15" customHeight="1" s="4" customFormat="1">
      <c r="A533" s="4" t="str">
        <f>IF(LEN('Open Positions'!B531)&gt;0,'Open Positions'!B531,"")</f>
      </c>
      <c r="B533" s="4" t="str">
        <f>IF(LEN('CALC'!A533)&gt;0,'Open Positions'!F531,"")</f>
      </c>
      <c r="C533" s="39" t="str">
        <f>IF(LEN(A533)&gt;0,'Open Positions'!Q531,"")</f>
      </c>
      <c r="D533" s="29" t="str">
        <f>IF(LEN(A533)&gt;0,B533*C533,"")</f>
      </c>
    </row>
    <row r="534" ht="15" customHeight="1" s="4" customFormat="1">
      <c r="A534" s="4" t="str">
        <f>IF(LEN('Open Positions'!B532)&gt;0,'Open Positions'!B532,"")</f>
      </c>
      <c r="B534" s="4" t="str">
        <f>IF(LEN('CALC'!A534)&gt;0,'Open Positions'!F532,"")</f>
      </c>
      <c r="C534" s="39" t="str">
        <f>IF(LEN(A534)&gt;0,'Open Positions'!Q532,"")</f>
      </c>
      <c r="D534" s="29" t="str">
        <f>IF(LEN(A534)&gt;0,B534*C534,"")</f>
      </c>
    </row>
    <row r="535" ht="15" customHeight="1" s="4" customFormat="1">
      <c r="A535" s="4" t="str">
        <f>IF(LEN('Open Positions'!B533)&gt;0,'Open Positions'!B533,"")</f>
      </c>
      <c r="B535" s="4" t="str">
        <f>IF(LEN('CALC'!A535)&gt;0,'Open Positions'!F533,"")</f>
      </c>
      <c r="C535" s="39" t="str">
        <f>IF(LEN(A535)&gt;0,'Open Positions'!Q533,"")</f>
      </c>
      <c r="D535" s="29" t="str">
        <f>IF(LEN(A535)&gt;0,B535*C535,"")</f>
      </c>
    </row>
    <row r="536" ht="15" customHeight="1" s="4" customFormat="1">
      <c r="A536" s="4" t="str">
        <f>IF(LEN('Open Positions'!B534)&gt;0,'Open Positions'!B534,"")</f>
      </c>
      <c r="B536" s="4" t="str">
        <f>IF(LEN('CALC'!A536)&gt;0,'Open Positions'!F534,"")</f>
      </c>
      <c r="C536" s="39" t="str">
        <f>IF(LEN(A536)&gt;0,'Open Positions'!Q534,"")</f>
      </c>
      <c r="D536" s="29" t="str">
        <f>IF(LEN(A536)&gt;0,B536*C536,"")</f>
      </c>
    </row>
    <row r="537" ht="15" customHeight="1" s="4" customFormat="1">
      <c r="A537" s="4" t="str">
        <f>IF(LEN('Open Positions'!B535)&gt;0,'Open Positions'!B535,"")</f>
      </c>
      <c r="B537" s="4" t="str">
        <f>IF(LEN('CALC'!A537)&gt;0,'Open Positions'!F535,"")</f>
      </c>
      <c r="C537" s="39" t="str">
        <f>IF(LEN(A537)&gt;0,'Open Positions'!Q535,"")</f>
      </c>
      <c r="D537" s="29" t="str">
        <f>IF(LEN(A537)&gt;0,B537*C537,"")</f>
      </c>
    </row>
    <row r="538" ht="15" customHeight="1" s="4" customFormat="1">
      <c r="A538" s="4" t="str">
        <f>IF(LEN('Open Positions'!B536)&gt;0,'Open Positions'!B536,"")</f>
      </c>
      <c r="B538" s="4" t="str">
        <f>IF(LEN('CALC'!A538)&gt;0,'Open Positions'!F536,"")</f>
      </c>
      <c r="C538" s="39" t="str">
        <f>IF(LEN(A538)&gt;0,'Open Positions'!Q536,"")</f>
      </c>
      <c r="D538" s="29" t="str">
        <f>IF(LEN(A538)&gt;0,B538*C538,"")</f>
      </c>
    </row>
    <row r="539" ht="15" customHeight="1" s="4" customFormat="1">
      <c r="A539" s="4" t="str">
        <f>IF(LEN('Open Positions'!B537)&gt;0,'Open Positions'!B537,"")</f>
      </c>
      <c r="B539" s="4" t="str">
        <f>IF(LEN('CALC'!A539)&gt;0,'Open Positions'!F537,"")</f>
      </c>
      <c r="C539" s="39" t="str">
        <f>IF(LEN(A539)&gt;0,'Open Positions'!Q537,"")</f>
      </c>
      <c r="D539" s="29" t="str">
        <f>IF(LEN(A539)&gt;0,B539*C539,"")</f>
      </c>
    </row>
    <row r="540" ht="15" customHeight="1" s="4" customFormat="1">
      <c r="A540" s="4" t="str">
        <f>IF(LEN('Open Positions'!B538)&gt;0,'Open Positions'!B538,"")</f>
      </c>
      <c r="B540" s="4" t="str">
        <f>IF(LEN('CALC'!A540)&gt;0,'Open Positions'!F538,"")</f>
      </c>
      <c r="C540" s="39" t="str">
        <f>IF(LEN(A540)&gt;0,'Open Positions'!Q538,"")</f>
      </c>
      <c r="D540" s="29" t="str">
        <f>IF(LEN(A540)&gt;0,B540*C540,"")</f>
      </c>
    </row>
    <row r="541" ht="15" customHeight="1" s="4" customFormat="1">
      <c r="A541" s="4" t="str">
        <f>IF(LEN('Open Positions'!B539)&gt;0,'Open Positions'!B539,"")</f>
      </c>
      <c r="B541" s="4" t="str">
        <f>IF(LEN('CALC'!A541)&gt;0,'Open Positions'!F539,"")</f>
      </c>
      <c r="C541" s="39" t="str">
        <f>IF(LEN(A541)&gt;0,'Open Positions'!Q539,"")</f>
      </c>
      <c r="D541" s="29" t="str">
        <f>IF(LEN(A541)&gt;0,B541*C541,"")</f>
      </c>
    </row>
    <row r="542" ht="15" customHeight="1" s="4" customFormat="1">
      <c r="A542" s="4" t="str">
        <f>IF(LEN('Open Positions'!B540)&gt;0,'Open Positions'!B540,"")</f>
      </c>
      <c r="B542" s="4" t="str">
        <f>IF(LEN('CALC'!A542)&gt;0,'Open Positions'!F540,"")</f>
      </c>
      <c r="C542" s="39" t="str">
        <f>IF(LEN(A542)&gt;0,'Open Positions'!Q540,"")</f>
      </c>
      <c r="D542" s="29" t="str">
        <f>IF(LEN(A542)&gt;0,B542*C542,"")</f>
      </c>
    </row>
    <row r="543" ht="15" customHeight="1" s="4" customFormat="1">
      <c r="A543" s="4" t="str">
        <f>IF(LEN('Open Positions'!B541)&gt;0,'Open Positions'!B541,"")</f>
      </c>
      <c r="B543" s="4" t="str">
        <f>IF(LEN('CALC'!A543)&gt;0,'Open Positions'!F541,"")</f>
      </c>
      <c r="C543" s="39" t="str">
        <f>IF(LEN(A543)&gt;0,'Open Positions'!Q541,"")</f>
      </c>
      <c r="D543" s="29" t="str">
        <f>IF(LEN(A543)&gt;0,B543*C543,"")</f>
      </c>
    </row>
    <row r="544" ht="15" customHeight="1" s="4" customFormat="1">
      <c r="A544" s="4" t="str">
        <f>IF(LEN('Open Positions'!B542)&gt;0,'Open Positions'!B542,"")</f>
      </c>
      <c r="B544" s="4" t="str">
        <f>IF(LEN('CALC'!A544)&gt;0,'Open Positions'!F542,"")</f>
      </c>
      <c r="C544" s="39" t="str">
        <f>IF(LEN(A544)&gt;0,'Open Positions'!Q542,"")</f>
      </c>
      <c r="D544" s="29" t="str">
        <f>IF(LEN(A544)&gt;0,B544*C544,"")</f>
      </c>
    </row>
    <row r="545" ht="15" customHeight="1" s="4" customFormat="1">
      <c r="A545" s="4" t="str">
        <f>IF(LEN('Open Positions'!B543)&gt;0,'Open Positions'!B543,"")</f>
      </c>
      <c r="B545" s="4" t="str">
        <f>IF(LEN('CALC'!A545)&gt;0,'Open Positions'!F543,"")</f>
      </c>
      <c r="C545" s="39" t="str">
        <f>IF(LEN(A545)&gt;0,'Open Positions'!Q543,"")</f>
      </c>
      <c r="D545" s="29" t="str">
        <f>IF(LEN(A545)&gt;0,B545*C545,"")</f>
      </c>
    </row>
    <row r="546" ht="15" customHeight="1" s="4" customFormat="1">
      <c r="A546" s="4" t="str">
        <f>IF(LEN('Open Positions'!B544)&gt;0,'Open Positions'!B544,"")</f>
      </c>
      <c r="B546" s="4" t="str">
        <f>IF(LEN('CALC'!A546)&gt;0,'Open Positions'!F544,"")</f>
      </c>
      <c r="C546" s="39" t="str">
        <f>IF(LEN(A546)&gt;0,'Open Positions'!Q544,"")</f>
      </c>
      <c r="D546" s="29" t="str">
        <f>IF(LEN(A546)&gt;0,B546*C546,"")</f>
      </c>
    </row>
    <row r="547" ht="15" customHeight="1" s="4" customFormat="1">
      <c r="A547" s="4" t="str">
        <f>IF(LEN('Open Positions'!B545)&gt;0,'Open Positions'!B545,"")</f>
      </c>
      <c r="B547" s="4" t="str">
        <f>IF(LEN('CALC'!A547)&gt;0,'Open Positions'!F545,"")</f>
      </c>
      <c r="C547" s="39" t="str">
        <f>IF(LEN(A547)&gt;0,'Open Positions'!Q545,"")</f>
      </c>
      <c r="D547" s="29" t="str">
        <f>IF(LEN(A547)&gt;0,B547*C547,"")</f>
      </c>
    </row>
    <row r="548" ht="15" customHeight="1" s="4" customFormat="1">
      <c r="A548" s="4" t="str">
        <f>IF(LEN('Open Positions'!B546)&gt;0,'Open Positions'!B546,"")</f>
      </c>
      <c r="B548" s="4" t="str">
        <f>IF(LEN('CALC'!A548)&gt;0,'Open Positions'!F546,"")</f>
      </c>
      <c r="C548" s="39" t="str">
        <f>IF(LEN(A548)&gt;0,'Open Positions'!Q546,"")</f>
      </c>
      <c r="D548" s="29" t="str">
        <f>IF(LEN(A548)&gt;0,B548*C548,"")</f>
      </c>
    </row>
    <row r="549" ht="15" customHeight="1" s="4" customFormat="1">
      <c r="A549" s="4" t="str">
        <f>IF(LEN('Open Positions'!B547)&gt;0,'Open Positions'!B547,"")</f>
      </c>
      <c r="B549" s="4" t="str">
        <f>IF(LEN('CALC'!A549)&gt;0,'Open Positions'!F547,"")</f>
      </c>
      <c r="C549" s="39" t="str">
        <f>IF(LEN(A549)&gt;0,'Open Positions'!Q547,"")</f>
      </c>
      <c r="D549" s="29" t="str">
        <f>IF(LEN(A549)&gt;0,B549*C549,"")</f>
      </c>
    </row>
    <row r="550" ht="15" customHeight="1" s="4" customFormat="1">
      <c r="A550" s="4" t="str">
        <f>IF(LEN('Open Positions'!B548)&gt;0,'Open Positions'!B548,"")</f>
      </c>
      <c r="B550" s="4" t="str">
        <f>IF(LEN('CALC'!A550)&gt;0,'Open Positions'!F548,"")</f>
      </c>
      <c r="C550" s="39" t="str">
        <f>IF(LEN(A550)&gt;0,'Open Positions'!Q548,"")</f>
      </c>
      <c r="D550" s="29" t="str">
        <f>IF(LEN(A550)&gt;0,B550*C550,"")</f>
      </c>
    </row>
    <row r="551" ht="15" customHeight="1" s="4" customFormat="1">
      <c r="A551" s="4" t="str">
        <f>IF(LEN('Open Positions'!B549)&gt;0,'Open Positions'!B549,"")</f>
      </c>
      <c r="B551" s="4" t="str">
        <f>IF(LEN('CALC'!A551)&gt;0,'Open Positions'!F549,"")</f>
      </c>
      <c r="C551" s="39" t="str">
        <f>IF(LEN(A551)&gt;0,'Open Positions'!Q549,"")</f>
      </c>
      <c r="D551" s="29" t="str">
        <f>IF(LEN(A551)&gt;0,B551*C551,"")</f>
      </c>
    </row>
    <row r="552" ht="15" customHeight="1" s="4" customFormat="1">
      <c r="A552" s="4" t="str">
        <f>IF(LEN('Open Positions'!B550)&gt;0,'Open Positions'!B550,"")</f>
      </c>
      <c r="B552" s="4" t="str">
        <f>IF(LEN('CALC'!A552)&gt;0,'Open Positions'!F550,"")</f>
      </c>
      <c r="C552" s="39" t="str">
        <f>IF(LEN(A552)&gt;0,'Open Positions'!Q550,"")</f>
      </c>
      <c r="D552" s="29" t="str">
        <f>IF(LEN(A552)&gt;0,B552*C552,"")</f>
      </c>
    </row>
    <row r="553" ht="15" customHeight="1" s="4" customFormat="1">
      <c r="A553" s="4" t="str">
        <f>IF(LEN('Open Positions'!B551)&gt;0,'Open Positions'!B551,"")</f>
      </c>
      <c r="B553" s="4" t="str">
        <f>IF(LEN('CALC'!A553)&gt;0,'Open Positions'!F551,"")</f>
      </c>
      <c r="C553" s="39" t="str">
        <f>IF(LEN(A553)&gt;0,'Open Positions'!Q551,"")</f>
      </c>
      <c r="D553" s="29" t="str">
        <f>IF(LEN(A553)&gt;0,B553*C553,"")</f>
      </c>
    </row>
    <row r="554" ht="15" customHeight="1" s="4" customFormat="1">
      <c r="A554" s="4" t="str">
        <f>IF(LEN('Open Positions'!B552)&gt;0,'Open Positions'!B552,"")</f>
      </c>
      <c r="B554" s="4" t="str">
        <f>IF(LEN('CALC'!A554)&gt;0,'Open Positions'!F552,"")</f>
      </c>
      <c r="C554" s="39" t="str">
        <f>IF(LEN(A554)&gt;0,'Open Positions'!Q552,"")</f>
      </c>
      <c r="D554" s="29" t="str">
        <f>IF(LEN(A554)&gt;0,B554*C554,"")</f>
      </c>
    </row>
    <row r="555" ht="15" customHeight="1" s="4" customFormat="1">
      <c r="A555" s="4" t="str">
        <f>IF(LEN('Open Positions'!B553)&gt;0,'Open Positions'!B553,"")</f>
      </c>
      <c r="B555" s="4" t="str">
        <f>IF(LEN('CALC'!A555)&gt;0,'Open Positions'!F553,"")</f>
      </c>
      <c r="C555" s="39" t="str">
        <f>IF(LEN(A555)&gt;0,'Open Positions'!Q553,"")</f>
      </c>
      <c r="D555" s="29" t="str">
        <f>IF(LEN(A555)&gt;0,B555*C555,"")</f>
      </c>
    </row>
    <row r="556" ht="15" customHeight="1" s="4" customFormat="1">
      <c r="A556" s="4" t="str">
        <f>IF(LEN('Open Positions'!B554)&gt;0,'Open Positions'!B554,"")</f>
      </c>
      <c r="B556" s="4" t="str">
        <f>IF(LEN('CALC'!A556)&gt;0,'Open Positions'!F554,"")</f>
      </c>
      <c r="C556" s="39" t="str">
        <f>IF(LEN(A556)&gt;0,'Open Positions'!Q554,"")</f>
      </c>
      <c r="D556" s="29" t="str">
        <f>IF(LEN(A556)&gt;0,B556*C556,"")</f>
      </c>
    </row>
    <row r="557" ht="15" customHeight="1" s="4" customFormat="1">
      <c r="A557" s="4" t="str">
        <f>IF(LEN('Open Positions'!B555)&gt;0,'Open Positions'!B555,"")</f>
      </c>
      <c r="B557" s="4" t="str">
        <f>IF(LEN('CALC'!A557)&gt;0,'Open Positions'!F555,"")</f>
      </c>
      <c r="C557" s="39" t="str">
        <f>IF(LEN(A557)&gt;0,'Open Positions'!Q555,"")</f>
      </c>
      <c r="D557" s="29" t="str">
        <f>IF(LEN(A557)&gt;0,B557*C557,"")</f>
      </c>
    </row>
    <row r="558" ht="15" customHeight="1" s="4" customFormat="1">
      <c r="A558" s="4" t="str">
        <f>IF(LEN('Open Positions'!B556)&gt;0,'Open Positions'!B556,"")</f>
      </c>
      <c r="B558" s="4" t="str">
        <f>IF(LEN('CALC'!A558)&gt;0,'Open Positions'!F556,"")</f>
      </c>
      <c r="C558" s="39" t="str">
        <f>IF(LEN(A558)&gt;0,'Open Positions'!Q556,"")</f>
      </c>
      <c r="D558" s="29" t="str">
        <f>IF(LEN(A558)&gt;0,B558*C558,"")</f>
      </c>
    </row>
    <row r="559" ht="15" customHeight="1" s="4" customFormat="1">
      <c r="A559" s="4" t="str">
        <f>IF(LEN('Open Positions'!B557)&gt;0,'Open Positions'!B557,"")</f>
      </c>
      <c r="B559" s="4" t="str">
        <f>IF(LEN('CALC'!A559)&gt;0,'Open Positions'!F557,"")</f>
      </c>
      <c r="C559" s="39" t="str">
        <f>IF(LEN(A559)&gt;0,'Open Positions'!Q557,"")</f>
      </c>
      <c r="D559" s="29" t="str">
        <f>IF(LEN(A559)&gt;0,B559*C559,"")</f>
      </c>
    </row>
    <row r="560" ht="15" customHeight="1" s="4" customFormat="1">
      <c r="A560" s="4" t="str">
        <f>IF(LEN('Open Positions'!B558)&gt;0,'Open Positions'!B558,"")</f>
      </c>
      <c r="B560" s="4" t="str">
        <f>IF(LEN('CALC'!A560)&gt;0,'Open Positions'!F558,"")</f>
      </c>
      <c r="C560" s="39" t="str">
        <f>IF(LEN(A560)&gt;0,'Open Positions'!Q558,"")</f>
      </c>
      <c r="D560" s="29" t="str">
        <f>IF(LEN(A560)&gt;0,B560*C560,"")</f>
      </c>
    </row>
    <row r="561" ht="15" customHeight="1" s="4" customFormat="1">
      <c r="A561" s="4" t="str">
        <f>IF(LEN('Open Positions'!B559)&gt;0,'Open Positions'!B559,"")</f>
      </c>
      <c r="B561" s="4" t="str">
        <f>IF(LEN('CALC'!A561)&gt;0,'Open Positions'!F559,"")</f>
      </c>
      <c r="C561" s="39" t="str">
        <f>IF(LEN(A561)&gt;0,'Open Positions'!Q559,"")</f>
      </c>
      <c r="D561" s="29" t="str">
        <f>IF(LEN(A561)&gt;0,B561*C561,"")</f>
      </c>
    </row>
    <row r="562" ht="15" customHeight="1" s="4" customFormat="1">
      <c r="A562" s="4" t="str">
        <f>IF(LEN('Open Positions'!B560)&gt;0,'Open Positions'!B560,"")</f>
      </c>
      <c r="B562" s="4" t="str">
        <f>IF(LEN('CALC'!A562)&gt;0,'Open Positions'!F560,"")</f>
      </c>
      <c r="C562" s="39" t="str">
        <f>IF(LEN(A562)&gt;0,'Open Positions'!Q560,"")</f>
      </c>
      <c r="D562" s="29" t="str">
        <f>IF(LEN(A562)&gt;0,B562*C562,"")</f>
      </c>
    </row>
    <row r="563" ht="15" customHeight="1" s="4" customFormat="1">
      <c r="A563" s="4" t="str">
        <f>IF(LEN('Open Positions'!B561)&gt;0,'Open Positions'!B561,"")</f>
      </c>
      <c r="B563" s="4" t="str">
        <f>IF(LEN('CALC'!A563)&gt;0,'Open Positions'!F561,"")</f>
      </c>
      <c r="C563" s="39" t="str">
        <f>IF(LEN(A563)&gt;0,'Open Positions'!Q561,"")</f>
      </c>
      <c r="D563" s="29" t="str">
        <f>IF(LEN(A563)&gt;0,B563*C563,"")</f>
      </c>
    </row>
    <row r="564" ht="15" customHeight="1" s="4" customFormat="1">
      <c r="A564" s="4" t="str">
        <f>IF(LEN('Open Positions'!B562)&gt;0,'Open Positions'!B562,"")</f>
      </c>
      <c r="B564" s="4" t="str">
        <f>IF(LEN('CALC'!A564)&gt;0,'Open Positions'!F562,"")</f>
      </c>
      <c r="C564" s="39" t="str">
        <f>IF(LEN(A564)&gt;0,'Open Positions'!Q562,"")</f>
      </c>
      <c r="D564" s="29" t="str">
        <f>IF(LEN(A564)&gt;0,B564*C564,"")</f>
      </c>
    </row>
    <row r="565" ht="15" customHeight="1" s="4" customFormat="1">
      <c r="A565" s="4" t="str">
        <f>IF(LEN('Open Positions'!B563)&gt;0,'Open Positions'!B563,"")</f>
      </c>
      <c r="B565" s="4" t="str">
        <f>IF(LEN('CALC'!A565)&gt;0,'Open Positions'!F563,"")</f>
      </c>
      <c r="C565" s="39" t="str">
        <f>IF(LEN(A565)&gt;0,'Open Positions'!Q563,"")</f>
      </c>
      <c r="D565" s="29" t="str">
        <f>IF(LEN(A565)&gt;0,B565*C565,"")</f>
      </c>
    </row>
    <row r="566" ht="15" customHeight="1" s="4" customFormat="1">
      <c r="A566" s="4" t="str">
        <f>IF(LEN('Open Positions'!B564)&gt;0,'Open Positions'!B564,"")</f>
      </c>
      <c r="B566" s="4" t="str">
        <f>IF(LEN('CALC'!A566)&gt;0,'Open Positions'!F564,"")</f>
      </c>
      <c r="C566" s="39" t="str">
        <f>IF(LEN(A566)&gt;0,'Open Positions'!Q564,"")</f>
      </c>
      <c r="D566" s="29" t="str">
        <f>IF(LEN(A566)&gt;0,B566*C566,"")</f>
      </c>
    </row>
    <row r="567" ht="15" customHeight="1" s="4" customFormat="1">
      <c r="A567" s="4" t="str">
        <f>IF(LEN('Open Positions'!B565)&gt;0,'Open Positions'!B565,"")</f>
      </c>
      <c r="B567" s="4" t="str">
        <f>IF(LEN('CALC'!A567)&gt;0,'Open Positions'!F565,"")</f>
      </c>
      <c r="C567" s="39" t="str">
        <f>IF(LEN(A567)&gt;0,'Open Positions'!Q565,"")</f>
      </c>
      <c r="D567" s="29" t="str">
        <f>IF(LEN(A567)&gt;0,B567*C567,"")</f>
      </c>
    </row>
    <row r="568" ht="15" customHeight="1" s="4" customFormat="1">
      <c r="A568" s="4" t="str">
        <f>IF(LEN('Open Positions'!B566)&gt;0,'Open Positions'!B566,"")</f>
      </c>
      <c r="B568" s="4" t="str">
        <f>IF(LEN('CALC'!A568)&gt;0,'Open Positions'!F566,"")</f>
      </c>
      <c r="C568" s="39" t="str">
        <f>IF(LEN(A568)&gt;0,'Open Positions'!Q566,"")</f>
      </c>
      <c r="D568" s="29" t="str">
        <f>IF(LEN(A568)&gt;0,B568*C568,"")</f>
      </c>
    </row>
    <row r="569" ht="15" customHeight="1" s="4" customFormat="1">
      <c r="A569" s="4" t="str">
        <f>IF(LEN('Open Positions'!B567)&gt;0,'Open Positions'!B567,"")</f>
      </c>
      <c r="B569" s="4" t="str">
        <f>IF(LEN('CALC'!A569)&gt;0,'Open Positions'!F567,"")</f>
      </c>
      <c r="C569" s="39" t="str">
        <f>IF(LEN(A569)&gt;0,'Open Positions'!Q567,"")</f>
      </c>
      <c r="D569" s="29" t="str">
        <f>IF(LEN(A569)&gt;0,B569*C569,"")</f>
      </c>
    </row>
    <row r="570" ht="15" customHeight="1" s="4" customFormat="1">
      <c r="A570" s="4" t="str">
        <f>IF(LEN('Open Positions'!B568)&gt;0,'Open Positions'!B568,"")</f>
      </c>
      <c r="B570" s="4" t="str">
        <f>IF(LEN('CALC'!A570)&gt;0,'Open Positions'!F568,"")</f>
      </c>
      <c r="C570" s="39" t="str">
        <f>IF(LEN(A570)&gt;0,'Open Positions'!Q568,"")</f>
      </c>
      <c r="D570" s="29" t="str">
        <f>IF(LEN(A570)&gt;0,B570*C570,"")</f>
      </c>
    </row>
    <row r="571" ht="15" customHeight="1" s="4" customFormat="1">
      <c r="A571" s="4" t="str">
        <f>IF(LEN('Open Positions'!B569)&gt;0,'Open Positions'!B569,"")</f>
      </c>
      <c r="B571" s="4" t="str">
        <f>IF(LEN('CALC'!A571)&gt;0,'Open Positions'!F569,"")</f>
      </c>
      <c r="C571" s="39" t="str">
        <f>IF(LEN(A571)&gt;0,'Open Positions'!Q569,"")</f>
      </c>
      <c r="D571" s="29" t="str">
        <f>IF(LEN(A571)&gt;0,B571*C571,"")</f>
      </c>
    </row>
    <row r="572" ht="15" customHeight="1" s="4" customFormat="1">
      <c r="A572" s="4" t="str">
        <f>IF(LEN('Open Positions'!B570)&gt;0,'Open Positions'!B570,"")</f>
      </c>
      <c r="B572" s="4" t="str">
        <f>IF(LEN('CALC'!A572)&gt;0,'Open Positions'!F570,"")</f>
      </c>
      <c r="C572" s="39" t="str">
        <f>IF(LEN(A572)&gt;0,'Open Positions'!Q570,"")</f>
      </c>
      <c r="D572" s="29" t="str">
        <f>IF(LEN(A572)&gt;0,B572*C572,"")</f>
      </c>
    </row>
    <row r="573" ht="15" customHeight="1" s="4" customFormat="1">
      <c r="A573" s="4" t="str">
        <f>IF(LEN('Open Positions'!B571)&gt;0,'Open Positions'!B571,"")</f>
      </c>
      <c r="B573" s="4" t="str">
        <f>IF(LEN('CALC'!A573)&gt;0,'Open Positions'!F571,"")</f>
      </c>
      <c r="C573" s="39" t="str">
        <f>IF(LEN(A573)&gt;0,'Open Positions'!Q571,"")</f>
      </c>
      <c r="D573" s="29" t="str">
        <f>IF(LEN(A573)&gt;0,B573*C573,"")</f>
      </c>
    </row>
    <row r="574" ht="15" customHeight="1" s="4" customFormat="1">
      <c r="A574" s="4" t="str">
        <f>IF(LEN('Open Positions'!B572)&gt;0,'Open Positions'!B572,"")</f>
      </c>
      <c r="B574" s="4" t="str">
        <f>IF(LEN('CALC'!A574)&gt;0,'Open Positions'!F572,"")</f>
      </c>
      <c r="C574" s="39" t="str">
        <f>IF(LEN(A574)&gt;0,'Open Positions'!Q572,"")</f>
      </c>
      <c r="D574" s="29" t="str">
        <f>IF(LEN(A574)&gt;0,B574*C574,"")</f>
      </c>
    </row>
    <row r="575" ht="15" customHeight="1" s="4" customFormat="1">
      <c r="A575" s="4" t="str">
        <f>IF(LEN('Open Positions'!B573)&gt;0,'Open Positions'!B573,"")</f>
      </c>
      <c r="B575" s="4" t="str">
        <f>IF(LEN('CALC'!A575)&gt;0,'Open Positions'!F573,"")</f>
      </c>
      <c r="C575" s="39" t="str">
        <f>IF(LEN(A575)&gt;0,'Open Positions'!Q573,"")</f>
      </c>
      <c r="D575" s="29" t="str">
        <f>IF(LEN(A575)&gt;0,B575*C575,"")</f>
      </c>
    </row>
    <row r="576" ht="15" customHeight="1" s="4" customFormat="1">
      <c r="A576" s="4" t="str">
        <f>IF(LEN('Open Positions'!B574)&gt;0,'Open Positions'!B574,"")</f>
      </c>
      <c r="B576" s="4" t="str">
        <f>IF(LEN('CALC'!A576)&gt;0,'Open Positions'!F574,"")</f>
      </c>
      <c r="C576" s="39" t="str">
        <f>IF(LEN(A576)&gt;0,'Open Positions'!Q574,"")</f>
      </c>
      <c r="D576" s="29" t="str">
        <f>IF(LEN(A576)&gt;0,B576*C576,"")</f>
      </c>
    </row>
    <row r="577" ht="15" customHeight="1" s="4" customFormat="1">
      <c r="A577" s="4" t="str">
        <f>IF(LEN('Open Positions'!B575)&gt;0,'Open Positions'!B575,"")</f>
      </c>
      <c r="B577" s="4" t="str">
        <f>IF(LEN('CALC'!A577)&gt;0,'Open Positions'!F575,"")</f>
      </c>
      <c r="C577" s="39" t="str">
        <f>IF(LEN(A577)&gt;0,'Open Positions'!Q575,"")</f>
      </c>
      <c r="D577" s="29" t="str">
        <f>IF(LEN(A577)&gt;0,B577*C577,"")</f>
      </c>
    </row>
    <row r="578" ht="15" customHeight="1" s="4" customFormat="1">
      <c r="A578" s="4" t="str">
        <f>IF(LEN('Open Positions'!B576)&gt;0,'Open Positions'!B576,"")</f>
      </c>
      <c r="B578" s="4" t="str">
        <f>IF(LEN('CALC'!A578)&gt;0,'Open Positions'!F576,"")</f>
      </c>
      <c r="C578" s="39" t="str">
        <f>IF(LEN(A578)&gt;0,'Open Positions'!Q576,"")</f>
      </c>
      <c r="D578" s="29" t="str">
        <f>IF(LEN(A578)&gt;0,B578*C578,"")</f>
      </c>
    </row>
    <row r="579" ht="15" customHeight="1" s="4" customFormat="1">
      <c r="A579" s="4" t="str">
        <f>IF(LEN('Open Positions'!B577)&gt;0,'Open Positions'!B577,"")</f>
      </c>
      <c r="B579" s="4" t="str">
        <f>IF(LEN('CALC'!A579)&gt;0,'Open Positions'!F577,"")</f>
      </c>
      <c r="C579" s="39" t="str">
        <f>IF(LEN(A579)&gt;0,'Open Positions'!Q577,"")</f>
      </c>
      <c r="D579" s="29" t="str">
        <f>IF(LEN(A579)&gt;0,B579*C579,"")</f>
      </c>
    </row>
    <row r="580" ht="15" customHeight="1" s="4" customFormat="1">
      <c r="A580" s="4" t="str">
        <f>IF(LEN('Open Positions'!B578)&gt;0,'Open Positions'!B578,"")</f>
      </c>
      <c r="B580" s="4" t="str">
        <f>IF(LEN('CALC'!A580)&gt;0,'Open Positions'!F578,"")</f>
      </c>
      <c r="C580" s="39" t="str">
        <f>IF(LEN(A580)&gt;0,'Open Positions'!Q578,"")</f>
      </c>
      <c r="D580" s="29" t="str">
        <f>IF(LEN(A580)&gt;0,B580*C580,"")</f>
      </c>
    </row>
    <row r="581" ht="15" customHeight="1" s="4" customFormat="1">
      <c r="A581" s="4" t="str">
        <f>IF(LEN('Open Positions'!B579)&gt;0,'Open Positions'!B579,"")</f>
      </c>
      <c r="B581" s="4" t="str">
        <f>IF(LEN('CALC'!A581)&gt;0,'Open Positions'!F579,"")</f>
      </c>
      <c r="C581" s="39" t="str">
        <f>IF(LEN(A581)&gt;0,'Open Positions'!Q579,"")</f>
      </c>
      <c r="D581" s="29" t="str">
        <f>IF(LEN(A581)&gt;0,B581*C581,"")</f>
      </c>
    </row>
    <row r="582" ht="15" customHeight="1" s="4" customFormat="1">
      <c r="A582" s="4" t="str">
        <f>IF(LEN('Open Positions'!B580)&gt;0,'Open Positions'!B580,"")</f>
      </c>
      <c r="B582" s="4" t="str">
        <f>IF(LEN('CALC'!A582)&gt;0,'Open Positions'!F580,"")</f>
      </c>
      <c r="C582" s="39" t="str">
        <f>IF(LEN(A582)&gt;0,'Open Positions'!Q580,"")</f>
      </c>
      <c r="D582" s="29" t="str">
        <f>IF(LEN(A582)&gt;0,B582*C582,"")</f>
      </c>
    </row>
    <row r="583" ht="15" customHeight="1" s="4" customFormat="1">
      <c r="A583" s="4" t="str">
        <f>IF(LEN('Open Positions'!B581)&gt;0,'Open Positions'!B581,"")</f>
      </c>
      <c r="B583" s="4" t="str">
        <f>IF(LEN('CALC'!A583)&gt;0,'Open Positions'!F581,"")</f>
      </c>
      <c r="C583" s="39" t="str">
        <f>IF(LEN(A583)&gt;0,'Open Positions'!Q581,"")</f>
      </c>
      <c r="D583" s="29" t="str">
        <f>IF(LEN(A583)&gt;0,B583*C583,"")</f>
      </c>
    </row>
    <row r="584" ht="15" customHeight="1" s="4" customFormat="1">
      <c r="A584" s="4" t="str">
        <f>IF(LEN('Open Positions'!B582)&gt;0,'Open Positions'!B582,"")</f>
      </c>
      <c r="B584" s="4" t="str">
        <f>IF(LEN('CALC'!A584)&gt;0,'Open Positions'!F582,"")</f>
      </c>
      <c r="C584" s="39" t="str">
        <f>IF(LEN(A584)&gt;0,'Open Positions'!Q582,"")</f>
      </c>
      <c r="D584" s="29" t="str">
        <f>IF(LEN(A584)&gt;0,B584*C584,"")</f>
      </c>
    </row>
    <row r="585" ht="15" customHeight="1" s="4" customFormat="1">
      <c r="A585" s="4" t="str">
        <f>IF(LEN('Open Positions'!B583)&gt;0,'Open Positions'!B583,"")</f>
      </c>
      <c r="B585" s="4" t="str">
        <f>IF(LEN('CALC'!A585)&gt;0,'Open Positions'!F583,"")</f>
      </c>
      <c r="C585" s="39" t="str">
        <f>IF(LEN(A585)&gt;0,'Open Positions'!Q583,"")</f>
      </c>
      <c r="D585" s="29" t="str">
        <f>IF(LEN(A585)&gt;0,B585*C585,"")</f>
      </c>
    </row>
    <row r="586" ht="15" customHeight="1" s="4" customFormat="1">
      <c r="A586" s="4" t="str">
        <f>IF(LEN('Open Positions'!B584)&gt;0,'Open Positions'!B584,"")</f>
      </c>
      <c r="B586" s="4" t="str">
        <f>IF(LEN('CALC'!A586)&gt;0,'Open Positions'!F584,"")</f>
      </c>
      <c r="C586" s="39" t="str">
        <f>IF(LEN(A586)&gt;0,'Open Positions'!Q584,"")</f>
      </c>
      <c r="D586" s="29" t="str">
        <f>IF(LEN(A586)&gt;0,B586*C586,"")</f>
      </c>
    </row>
    <row r="587" ht="15" customHeight="1" s="4" customFormat="1">
      <c r="A587" s="4" t="str">
        <f>IF(LEN('Open Positions'!B585)&gt;0,'Open Positions'!B585,"")</f>
      </c>
      <c r="B587" s="4" t="str">
        <f>IF(LEN('CALC'!A587)&gt;0,'Open Positions'!F585,"")</f>
      </c>
      <c r="C587" s="39" t="str">
        <f>IF(LEN(A587)&gt;0,'Open Positions'!Q585,"")</f>
      </c>
      <c r="D587" s="29" t="str">
        <f>IF(LEN(A587)&gt;0,B587*C587,"")</f>
      </c>
    </row>
    <row r="588" ht="15" customHeight="1" s="4" customFormat="1">
      <c r="A588" s="4" t="str">
        <f>IF(LEN('Open Positions'!B586)&gt;0,'Open Positions'!B586,"")</f>
      </c>
      <c r="B588" s="4" t="str">
        <f>IF(LEN('CALC'!A588)&gt;0,'Open Positions'!F586,"")</f>
      </c>
      <c r="C588" s="39" t="str">
        <f>IF(LEN(A588)&gt;0,'Open Positions'!Q586,"")</f>
      </c>
      <c r="D588" s="29" t="str">
        <f>IF(LEN(A588)&gt;0,B588*C588,"")</f>
      </c>
    </row>
    <row r="589" ht="15" customHeight="1" s="4" customFormat="1">
      <c r="A589" s="4" t="str">
        <f>IF(LEN('Open Positions'!B587)&gt;0,'Open Positions'!B587,"")</f>
      </c>
      <c r="B589" s="4" t="str">
        <f>IF(LEN('CALC'!A589)&gt;0,'Open Positions'!F587,"")</f>
      </c>
      <c r="C589" s="39" t="str">
        <f>IF(LEN(A589)&gt;0,'Open Positions'!Q587,"")</f>
      </c>
      <c r="D589" s="29" t="str">
        <f>IF(LEN(A589)&gt;0,B589*C589,"")</f>
      </c>
    </row>
    <row r="590" ht="15" customHeight="1" s="4" customFormat="1">
      <c r="A590" s="4" t="str">
        <f>IF(LEN('Open Positions'!B588)&gt;0,'Open Positions'!B588,"")</f>
      </c>
      <c r="B590" s="4" t="str">
        <f>IF(LEN('CALC'!A590)&gt;0,'Open Positions'!F588,"")</f>
      </c>
      <c r="C590" s="39" t="str">
        <f>IF(LEN(A590)&gt;0,'Open Positions'!Q588,"")</f>
      </c>
      <c r="D590" s="29" t="str">
        <f>IF(LEN(A590)&gt;0,B590*C590,"")</f>
      </c>
    </row>
    <row r="591" ht="15" customHeight="1" s="4" customFormat="1">
      <c r="A591" s="4" t="str">
        <f>IF(LEN('Open Positions'!B589)&gt;0,'Open Positions'!B589,"")</f>
      </c>
      <c r="B591" s="4" t="str">
        <f>IF(LEN('CALC'!A591)&gt;0,'Open Positions'!F589,"")</f>
      </c>
      <c r="C591" s="39" t="str">
        <f>IF(LEN(A591)&gt;0,'Open Positions'!Q589,"")</f>
      </c>
      <c r="D591" s="29" t="str">
        <f>IF(LEN(A591)&gt;0,B591*C591,"")</f>
      </c>
    </row>
    <row r="592" ht="15" customHeight="1" s="4" customFormat="1">
      <c r="A592" s="4" t="str">
        <f>IF(LEN('Open Positions'!B590)&gt;0,'Open Positions'!B590,"")</f>
      </c>
      <c r="B592" s="4" t="str">
        <f>IF(LEN('CALC'!A592)&gt;0,'Open Positions'!F590,"")</f>
      </c>
      <c r="C592" s="39" t="str">
        <f>IF(LEN(A592)&gt;0,'Open Positions'!Q590,"")</f>
      </c>
      <c r="D592" s="29" t="str">
        <f>IF(LEN(A592)&gt;0,B592*C592,"")</f>
      </c>
    </row>
    <row r="593" ht="15" customHeight="1" s="4" customFormat="1">
      <c r="A593" s="4" t="str">
        <f>IF(LEN('Open Positions'!B591)&gt;0,'Open Positions'!B591,"")</f>
      </c>
      <c r="B593" s="4" t="str">
        <f>IF(LEN('CALC'!A593)&gt;0,'Open Positions'!F591,"")</f>
      </c>
      <c r="C593" s="39" t="str">
        <f>IF(LEN(A593)&gt;0,'Open Positions'!Q591,"")</f>
      </c>
      <c r="D593" s="29" t="str">
        <f>IF(LEN(A593)&gt;0,B593*C593,"")</f>
      </c>
    </row>
    <row r="594" ht="15" customHeight="1" s="4" customFormat="1">
      <c r="A594" s="4" t="str">
        <f>IF(LEN('Open Positions'!B592)&gt;0,'Open Positions'!B592,"")</f>
      </c>
      <c r="B594" s="4" t="str">
        <f>IF(LEN('CALC'!A594)&gt;0,'Open Positions'!F592,"")</f>
      </c>
      <c r="C594" s="39" t="str">
        <f>IF(LEN(A594)&gt;0,'Open Positions'!Q592,"")</f>
      </c>
      <c r="D594" s="29" t="str">
        <f>IF(LEN(A594)&gt;0,B594*C594,"")</f>
      </c>
    </row>
    <row r="595" ht="15" customHeight="1" s="4" customFormat="1">
      <c r="A595" s="4" t="str">
        <f>IF(LEN('Open Positions'!B593)&gt;0,'Open Positions'!B593,"")</f>
      </c>
      <c r="B595" s="4" t="str">
        <f>IF(LEN('CALC'!A595)&gt;0,'Open Positions'!F593,"")</f>
      </c>
      <c r="C595" s="39" t="str">
        <f>IF(LEN(A595)&gt;0,'Open Positions'!Q593,"")</f>
      </c>
      <c r="D595" s="29" t="str">
        <f>IF(LEN(A595)&gt;0,B595*C595,"")</f>
      </c>
    </row>
    <row r="596" ht="15" customHeight="1" s="4" customFormat="1">
      <c r="A596" s="4" t="str">
        <f>IF(LEN('Open Positions'!B594)&gt;0,'Open Positions'!B594,"")</f>
      </c>
      <c r="B596" s="4" t="str">
        <f>IF(LEN('CALC'!A596)&gt;0,'Open Positions'!F594,"")</f>
      </c>
      <c r="C596" s="39" t="str">
        <f>IF(LEN(A596)&gt;0,'Open Positions'!Q594,"")</f>
      </c>
      <c r="D596" s="29" t="str">
        <f>IF(LEN(A596)&gt;0,B596*C596,"")</f>
      </c>
    </row>
    <row r="597" ht="15" customHeight="1" s="4" customFormat="1">
      <c r="A597" s="4" t="str">
        <f>IF(LEN('Open Positions'!B595)&gt;0,'Open Positions'!B595,"")</f>
      </c>
      <c r="B597" s="4" t="str">
        <f>IF(LEN('CALC'!A597)&gt;0,'Open Positions'!F595,"")</f>
      </c>
      <c r="C597" s="39" t="str">
        <f>IF(LEN(A597)&gt;0,'Open Positions'!Q595,"")</f>
      </c>
      <c r="D597" s="29" t="str">
        <f>IF(LEN(A597)&gt;0,B597*C597,"")</f>
      </c>
    </row>
    <row r="598" ht="15" customHeight="1" s="4" customFormat="1">
      <c r="A598" s="4" t="str">
        <f>IF(LEN('Open Positions'!B596)&gt;0,'Open Positions'!B596,"")</f>
      </c>
      <c r="B598" s="4" t="str">
        <f>IF(LEN('CALC'!A598)&gt;0,'Open Positions'!F596,"")</f>
      </c>
      <c r="C598" s="39" t="str">
        <f>IF(LEN(A598)&gt;0,'Open Positions'!Q596,"")</f>
      </c>
      <c r="D598" s="29" t="str">
        <f>IF(LEN(A598)&gt;0,B598*C598,"")</f>
      </c>
    </row>
    <row r="599" ht="15" customHeight="1" s="4" customFormat="1">
      <c r="A599" s="4" t="str">
        <f>IF(LEN('Open Positions'!B597)&gt;0,'Open Positions'!B597,"")</f>
      </c>
      <c r="B599" s="4" t="str">
        <f>IF(LEN('CALC'!A599)&gt;0,'Open Positions'!F597,"")</f>
      </c>
      <c r="C599" s="39" t="str">
        <f>IF(LEN(A599)&gt;0,'Open Positions'!Q597,"")</f>
      </c>
      <c r="D599" s="29" t="str">
        <f>IF(LEN(A599)&gt;0,B599*C599,"")</f>
      </c>
    </row>
    <row r="600" ht="15" customHeight="1" s="4" customFormat="1">
      <c r="A600" s="4" t="str">
        <f>IF(LEN('Open Positions'!B598)&gt;0,'Open Positions'!B598,"")</f>
      </c>
      <c r="B600" s="4" t="str">
        <f>IF(LEN('CALC'!A600)&gt;0,'Open Positions'!F598,"")</f>
      </c>
      <c r="C600" s="39" t="str">
        <f>IF(LEN(A600)&gt;0,'Open Positions'!Q598,"")</f>
      </c>
      <c r="D600" s="29" t="str">
        <f>IF(LEN(A600)&gt;0,B600*C600,"")</f>
      </c>
    </row>
    <row r="601" ht="15" customHeight="1" s="4" customFormat="1">
      <c r="A601" s="4" t="str">
        <f>IF(LEN('Open Positions'!B599)&gt;0,'Open Positions'!B599,"")</f>
      </c>
      <c r="B601" s="4" t="str">
        <f>IF(LEN('CALC'!A601)&gt;0,'Open Positions'!F599,"")</f>
      </c>
      <c r="C601" s="39" t="str">
        <f>IF(LEN(A601)&gt;0,'Open Positions'!Q599,"")</f>
      </c>
      <c r="D601" s="29" t="str">
        <f>IF(LEN(A601)&gt;0,B601*C601,"")</f>
      </c>
    </row>
    <row r="602" ht="15" customHeight="1" s="4" customFormat="1">
      <c r="A602" s="4" t="str">
        <f>IF(LEN('Open Positions'!B600)&gt;0,'Open Positions'!B600,"")</f>
      </c>
      <c r="B602" s="4" t="str">
        <f>IF(LEN('CALC'!A602)&gt;0,'Open Positions'!F600,"")</f>
      </c>
      <c r="C602" s="39" t="str">
        <f>IF(LEN(A602)&gt;0,'Open Positions'!Q600,"")</f>
      </c>
      <c r="D602" s="29" t="str">
        <f>IF(LEN(A602)&gt;0,B602*C602,"")</f>
      </c>
    </row>
    <row r="603" ht="15" customHeight="1" s="4" customFormat="1">
      <c r="A603" s="4" t="str">
        <f>IF(LEN('Open Positions'!B601)&gt;0,'Open Positions'!B601,"")</f>
      </c>
      <c r="B603" s="4" t="str">
        <f>IF(LEN('CALC'!A603)&gt;0,'Open Positions'!F601,"")</f>
      </c>
      <c r="C603" s="39" t="str">
        <f>IF(LEN(A603)&gt;0,'Open Positions'!Q601,"")</f>
      </c>
      <c r="D603" s="29" t="str">
        <f>IF(LEN(A603)&gt;0,B603*C603,"")</f>
      </c>
    </row>
    <row r="604" ht="15" customHeight="1" s="4" customFormat="1">
      <c r="A604" s="4" t="str">
        <f>IF(LEN('Open Positions'!B602)&gt;0,'Open Positions'!B602,"")</f>
      </c>
      <c r="B604" s="4" t="str">
        <f>IF(LEN('CALC'!A604)&gt;0,'Open Positions'!F602,"")</f>
      </c>
      <c r="C604" s="39" t="str">
        <f>IF(LEN(A604)&gt;0,'Open Positions'!Q602,"")</f>
      </c>
      <c r="D604" s="29" t="str">
        <f>IF(LEN(A604)&gt;0,B604*C604,"")</f>
      </c>
    </row>
    <row r="605" ht="15" customHeight="1" s="4" customFormat="1">
      <c r="A605" s="4" t="str">
        <f>IF(LEN('Open Positions'!B603)&gt;0,'Open Positions'!B603,"")</f>
      </c>
      <c r="B605" s="4" t="str">
        <f>IF(LEN('CALC'!A605)&gt;0,'Open Positions'!F603,"")</f>
      </c>
      <c r="C605" s="39" t="str">
        <f>IF(LEN(A605)&gt;0,'Open Positions'!Q603,"")</f>
      </c>
      <c r="D605" s="29" t="str">
        <f>IF(LEN(A605)&gt;0,B605*C605,"")</f>
      </c>
    </row>
    <row r="606" ht="15" customHeight="1" s="4" customFormat="1">
      <c r="A606" s="4" t="str">
        <f>IF(LEN('Open Positions'!B604)&gt;0,'Open Positions'!B604,"")</f>
      </c>
      <c r="B606" s="4" t="str">
        <f>IF(LEN('CALC'!A606)&gt;0,'Open Positions'!F604,"")</f>
      </c>
      <c r="C606" s="39" t="str">
        <f>IF(LEN(A606)&gt;0,'Open Positions'!Q604,"")</f>
      </c>
      <c r="D606" s="29" t="str">
        <f>IF(LEN(A606)&gt;0,B606*C606,"")</f>
      </c>
    </row>
    <row r="607" ht="15" customHeight="1" s="4" customFormat="1">
      <c r="A607" s="4" t="str">
        <f>IF(LEN('Open Positions'!B605)&gt;0,'Open Positions'!B605,"")</f>
      </c>
      <c r="B607" s="4" t="str">
        <f>IF(LEN('CALC'!A607)&gt;0,'Open Positions'!F605,"")</f>
      </c>
      <c r="C607" s="39" t="str">
        <f>IF(LEN(A607)&gt;0,'Open Positions'!Q605,"")</f>
      </c>
      <c r="D607" s="29" t="str">
        <f>IF(LEN(A607)&gt;0,B607*C607,"")</f>
      </c>
    </row>
    <row r="608" ht="15" customHeight="1" s="4" customFormat="1">
      <c r="A608" s="4" t="str">
        <f>IF(LEN('Open Positions'!B606)&gt;0,'Open Positions'!B606,"")</f>
      </c>
      <c r="B608" s="4" t="str">
        <f>IF(LEN('CALC'!A608)&gt;0,'Open Positions'!F606,"")</f>
      </c>
      <c r="C608" s="39" t="str">
        <f>IF(LEN(A608)&gt;0,'Open Positions'!Q606,"")</f>
      </c>
      <c r="D608" s="29" t="str">
        <f>IF(LEN(A608)&gt;0,B608*C608,"")</f>
      </c>
    </row>
    <row r="609" ht="15" customHeight="1" s="4" customFormat="1">
      <c r="A609" s="4" t="str">
        <f>IF(LEN('Open Positions'!B607)&gt;0,'Open Positions'!B607,"")</f>
      </c>
      <c r="B609" s="4" t="str">
        <f>IF(LEN('CALC'!A609)&gt;0,'Open Positions'!F607,"")</f>
      </c>
      <c r="C609" s="39" t="str">
        <f>IF(LEN(A609)&gt;0,'Open Positions'!Q607,"")</f>
      </c>
      <c r="D609" s="29" t="str">
        <f>IF(LEN(A609)&gt;0,B609*C609,"")</f>
      </c>
    </row>
    <row r="610" ht="15" customHeight="1" s="4" customFormat="1">
      <c r="A610" s="4" t="str">
        <f>IF(LEN('Open Positions'!B608)&gt;0,'Open Positions'!B608,"")</f>
      </c>
      <c r="B610" s="4" t="str">
        <f>IF(LEN('CALC'!A610)&gt;0,'Open Positions'!F608,"")</f>
      </c>
      <c r="C610" s="39" t="str">
        <f>IF(LEN(A610)&gt;0,'Open Positions'!Q608,"")</f>
      </c>
      <c r="D610" s="29" t="str">
        <f>IF(LEN(A610)&gt;0,B610*C610,"")</f>
      </c>
    </row>
    <row r="611" ht="15" customHeight="1" s="4" customFormat="1">
      <c r="A611" s="4" t="str">
        <f>IF(LEN('Open Positions'!B609)&gt;0,'Open Positions'!B609,"")</f>
      </c>
      <c r="B611" s="4" t="str">
        <f>IF(LEN('CALC'!A611)&gt;0,'Open Positions'!F609,"")</f>
      </c>
      <c r="C611" s="39" t="str">
        <f>IF(LEN(A611)&gt;0,'Open Positions'!Q609,"")</f>
      </c>
      <c r="D611" s="29" t="str">
        <f>IF(LEN(A611)&gt;0,B611*C611,"")</f>
      </c>
    </row>
    <row r="612" ht="15" customHeight="1" s="4" customFormat="1">
      <c r="A612" s="4" t="str">
        <f>IF(LEN('Open Positions'!B610)&gt;0,'Open Positions'!B610,"")</f>
      </c>
      <c r="B612" s="4" t="str">
        <f>IF(LEN('CALC'!A612)&gt;0,'Open Positions'!F610,"")</f>
      </c>
      <c r="C612" s="39" t="str">
        <f>IF(LEN(A612)&gt;0,'Open Positions'!Q610,"")</f>
      </c>
      <c r="D612" s="29" t="str">
        <f>IF(LEN(A612)&gt;0,B612*C612,"")</f>
      </c>
    </row>
    <row r="613" ht="15" customHeight="1" s="4" customFormat="1">
      <c r="A613" s="4" t="str">
        <f>IF(LEN('Open Positions'!B611)&gt;0,'Open Positions'!B611,"")</f>
      </c>
      <c r="B613" s="4" t="str">
        <f>IF(LEN('CALC'!A613)&gt;0,'Open Positions'!F611,"")</f>
      </c>
      <c r="C613" s="39" t="str">
        <f>IF(LEN(A613)&gt;0,'Open Positions'!Q611,"")</f>
      </c>
      <c r="D613" s="29" t="str">
        <f>IF(LEN(A613)&gt;0,B613*C613,"")</f>
      </c>
    </row>
    <row r="614" ht="15" customHeight="1" s="4" customFormat="1">
      <c r="A614" s="4" t="str">
        <f>IF(LEN('Open Positions'!B612)&gt;0,'Open Positions'!B612,"")</f>
      </c>
      <c r="B614" s="4" t="str">
        <f>IF(LEN('CALC'!A614)&gt;0,'Open Positions'!F612,"")</f>
      </c>
      <c r="C614" s="39" t="str">
        <f>IF(LEN(A614)&gt;0,'Open Positions'!Q612,"")</f>
      </c>
      <c r="D614" s="29" t="str">
        <f>IF(LEN(A614)&gt;0,B614*C614,"")</f>
      </c>
    </row>
    <row r="615" ht="15" customHeight="1" s="4" customFormat="1">
      <c r="A615" s="4" t="str">
        <f>IF(LEN('Open Positions'!B613)&gt;0,'Open Positions'!B613,"")</f>
      </c>
      <c r="B615" s="4" t="str">
        <f>IF(LEN('CALC'!A615)&gt;0,'Open Positions'!F613,"")</f>
      </c>
      <c r="C615" s="39" t="str">
        <f>IF(LEN(A615)&gt;0,'Open Positions'!Q613,"")</f>
      </c>
      <c r="D615" s="29" t="str">
        <f>IF(LEN(A615)&gt;0,B615*C615,"")</f>
      </c>
    </row>
    <row r="616" ht="15" customHeight="1" s="4" customFormat="1">
      <c r="A616" s="4" t="str">
        <f>IF(LEN('Open Positions'!B614)&gt;0,'Open Positions'!B614,"")</f>
      </c>
      <c r="B616" s="4" t="str">
        <f>IF(LEN('CALC'!A616)&gt;0,'Open Positions'!F614,"")</f>
      </c>
      <c r="C616" s="39" t="str">
        <f>IF(LEN(A616)&gt;0,'Open Positions'!Q614,"")</f>
      </c>
      <c r="D616" s="29" t="str">
        <f>IF(LEN(A616)&gt;0,B616*C616,"")</f>
      </c>
    </row>
    <row r="617" ht="15" customHeight="1" s="4" customFormat="1">
      <c r="A617" s="4" t="str">
        <f>IF(LEN('Open Positions'!B615)&gt;0,'Open Positions'!B615,"")</f>
      </c>
      <c r="B617" s="4" t="str">
        <f>IF(LEN('CALC'!A617)&gt;0,'Open Positions'!F615,"")</f>
      </c>
      <c r="C617" s="39" t="str">
        <f>IF(LEN(A617)&gt;0,'Open Positions'!Q615,"")</f>
      </c>
      <c r="D617" s="29" t="str">
        <f>IF(LEN(A617)&gt;0,B617*C617,"")</f>
      </c>
    </row>
    <row r="618" ht="15" customHeight="1" s="4" customFormat="1">
      <c r="A618" s="4" t="str">
        <f>IF(LEN('Open Positions'!B616)&gt;0,'Open Positions'!B616,"")</f>
      </c>
      <c r="B618" s="4" t="str">
        <f>IF(LEN('CALC'!A618)&gt;0,'Open Positions'!F616,"")</f>
      </c>
      <c r="C618" s="39" t="str">
        <f>IF(LEN(A618)&gt;0,'Open Positions'!Q616,"")</f>
      </c>
      <c r="D618" s="29" t="str">
        <f>IF(LEN(A618)&gt;0,B618*C618,"")</f>
      </c>
    </row>
    <row r="619" ht="15" customHeight="1" s="4" customFormat="1">
      <c r="A619" s="4" t="str">
        <f>IF(LEN('Open Positions'!B617)&gt;0,'Open Positions'!B617,"")</f>
      </c>
      <c r="B619" s="4" t="str">
        <f>IF(LEN('CALC'!A619)&gt;0,'Open Positions'!F617,"")</f>
      </c>
      <c r="C619" s="39" t="str">
        <f>IF(LEN(A619)&gt;0,'Open Positions'!Q617,"")</f>
      </c>
      <c r="D619" s="29" t="str">
        <f>IF(LEN(A619)&gt;0,B619*C619,"")</f>
      </c>
    </row>
    <row r="620" ht="15" customHeight="1" s="4" customFormat="1">
      <c r="A620" s="4" t="str">
        <f>IF(LEN('Open Positions'!B618)&gt;0,'Open Positions'!B618,"")</f>
      </c>
      <c r="B620" s="4" t="str">
        <f>IF(LEN('CALC'!A620)&gt;0,'Open Positions'!F618,"")</f>
      </c>
      <c r="C620" s="39" t="str">
        <f>IF(LEN(A620)&gt;0,'Open Positions'!Q618,"")</f>
      </c>
      <c r="D620" s="29" t="str">
        <f>IF(LEN(A620)&gt;0,B620*C620,"")</f>
      </c>
    </row>
    <row r="621" ht="15" customHeight="1" s="4" customFormat="1">
      <c r="A621" s="4" t="str">
        <f>IF(LEN('Open Positions'!B619)&gt;0,'Open Positions'!B619,"")</f>
      </c>
      <c r="B621" s="4" t="str">
        <f>IF(LEN('CALC'!A621)&gt;0,'Open Positions'!F619,"")</f>
      </c>
      <c r="C621" s="39" t="str">
        <f>IF(LEN(A621)&gt;0,'Open Positions'!Q619,"")</f>
      </c>
      <c r="D621" s="29" t="str">
        <f>IF(LEN(A621)&gt;0,B621*C621,"")</f>
      </c>
    </row>
    <row r="622" ht="15" customHeight="1" s="4" customFormat="1">
      <c r="A622" s="4" t="str">
        <f>IF(LEN('Open Positions'!B620)&gt;0,'Open Positions'!B620,"")</f>
      </c>
      <c r="B622" s="4" t="str">
        <f>IF(LEN('CALC'!A622)&gt;0,'Open Positions'!F620,"")</f>
      </c>
      <c r="C622" s="39" t="str">
        <f>IF(LEN(A622)&gt;0,'Open Positions'!Q620,"")</f>
      </c>
      <c r="D622" s="29" t="str">
        <f>IF(LEN(A622)&gt;0,B622*C622,"")</f>
      </c>
    </row>
    <row r="623" ht="15" customHeight="1" s="4" customFormat="1">
      <c r="A623" s="4" t="str">
        <f>IF(LEN('Open Positions'!B621)&gt;0,'Open Positions'!B621,"")</f>
      </c>
      <c r="B623" s="4" t="str">
        <f>IF(LEN('CALC'!A623)&gt;0,'Open Positions'!F621,"")</f>
      </c>
      <c r="C623" s="39" t="str">
        <f>IF(LEN(A623)&gt;0,'Open Positions'!Q621,"")</f>
      </c>
      <c r="D623" s="29" t="str">
        <f>IF(LEN(A623)&gt;0,B623*C623,"")</f>
      </c>
    </row>
    <row r="624" ht="15" customHeight="1" s="4" customFormat="1">
      <c r="A624" s="4" t="str">
        <f>IF(LEN('Open Positions'!B622)&gt;0,'Open Positions'!B622,"")</f>
      </c>
      <c r="B624" s="4" t="str">
        <f>IF(LEN('CALC'!A624)&gt;0,'Open Positions'!F622,"")</f>
      </c>
      <c r="C624" s="39" t="str">
        <f>IF(LEN(A624)&gt;0,'Open Positions'!Q622,"")</f>
      </c>
      <c r="D624" s="29" t="str">
        <f>IF(LEN(A624)&gt;0,B624*C624,"")</f>
      </c>
    </row>
    <row r="625" ht="15" customHeight="1" s="4" customFormat="1">
      <c r="A625" s="4" t="str">
        <f>IF(LEN('Open Positions'!B623)&gt;0,'Open Positions'!B623,"")</f>
      </c>
      <c r="B625" s="4" t="str">
        <f>IF(LEN('CALC'!A625)&gt;0,'Open Positions'!F623,"")</f>
      </c>
      <c r="C625" s="39" t="str">
        <f>IF(LEN(A625)&gt;0,'Open Positions'!Q623,"")</f>
      </c>
      <c r="D625" s="29" t="str">
        <f>IF(LEN(A625)&gt;0,B625*C625,"")</f>
      </c>
    </row>
    <row r="626" ht="15" customHeight="1" s="4" customFormat="1">
      <c r="A626" s="4" t="str">
        <f>IF(LEN('Open Positions'!B624)&gt;0,'Open Positions'!B624,"")</f>
      </c>
      <c r="B626" s="4" t="str">
        <f>IF(LEN('CALC'!A626)&gt;0,'Open Positions'!F624,"")</f>
      </c>
      <c r="C626" s="39" t="str">
        <f>IF(LEN(A626)&gt;0,'Open Positions'!Q624,"")</f>
      </c>
      <c r="D626" s="29" t="str">
        <f>IF(LEN(A626)&gt;0,B626*C626,"")</f>
      </c>
    </row>
    <row r="627" ht="15" customHeight="1" s="4" customFormat="1">
      <c r="A627" s="4" t="str">
        <f>IF(LEN('Open Positions'!B625)&gt;0,'Open Positions'!B625,"")</f>
      </c>
      <c r="B627" s="4" t="str">
        <f>IF(LEN('CALC'!A627)&gt;0,'Open Positions'!F625,"")</f>
      </c>
      <c r="C627" s="39" t="str">
        <f>IF(LEN(A627)&gt;0,'Open Positions'!Q625,"")</f>
      </c>
      <c r="D627" s="29" t="str">
        <f>IF(LEN(A627)&gt;0,B627*C627,"")</f>
      </c>
    </row>
    <row r="628" ht="15" customHeight="1" s="4" customFormat="1">
      <c r="A628" s="4" t="str">
        <f>IF(LEN('Open Positions'!B626)&gt;0,'Open Positions'!B626,"")</f>
      </c>
      <c r="B628" s="4" t="str">
        <f>IF(LEN('CALC'!A628)&gt;0,'Open Positions'!F626,"")</f>
      </c>
      <c r="C628" s="39" t="str">
        <f>IF(LEN(A628)&gt;0,'Open Positions'!Q626,"")</f>
      </c>
      <c r="D628" s="29" t="str">
        <f>IF(LEN(A628)&gt;0,B628*C628,"")</f>
      </c>
    </row>
    <row r="629" ht="15" customHeight="1" s="4" customFormat="1">
      <c r="A629" s="4" t="str">
        <f>IF(LEN('Open Positions'!B627)&gt;0,'Open Positions'!B627,"")</f>
      </c>
      <c r="B629" s="4" t="str">
        <f>IF(LEN('CALC'!A629)&gt;0,'Open Positions'!F627,"")</f>
      </c>
      <c r="C629" s="39" t="str">
        <f>IF(LEN(A629)&gt;0,'Open Positions'!Q627,"")</f>
      </c>
      <c r="D629" s="29" t="str">
        <f>IF(LEN(A629)&gt;0,B629*C629,"")</f>
      </c>
    </row>
    <row r="630" ht="15" customHeight="1" s="4" customFormat="1">
      <c r="A630" s="4" t="str">
        <f>IF(LEN('Open Positions'!B628)&gt;0,'Open Positions'!B628,"")</f>
      </c>
      <c r="B630" s="4" t="str">
        <f>IF(LEN('CALC'!A630)&gt;0,'Open Positions'!F628,"")</f>
      </c>
      <c r="C630" s="39" t="str">
        <f>IF(LEN(A630)&gt;0,'Open Positions'!Q628,"")</f>
      </c>
      <c r="D630" s="29" t="str">
        <f>IF(LEN(A630)&gt;0,B630*C630,"")</f>
      </c>
    </row>
    <row r="631" ht="15" customHeight="1" s="4" customFormat="1">
      <c r="A631" s="4" t="str">
        <f>IF(LEN('Open Positions'!B629)&gt;0,'Open Positions'!B629,"")</f>
      </c>
      <c r="B631" s="4" t="str">
        <f>IF(LEN('CALC'!A631)&gt;0,'Open Positions'!F629,"")</f>
      </c>
      <c r="C631" s="39" t="str">
        <f>IF(LEN(A631)&gt;0,'Open Positions'!Q629,"")</f>
      </c>
      <c r="D631" s="29" t="str">
        <f>IF(LEN(A631)&gt;0,B631*C631,"")</f>
      </c>
    </row>
    <row r="632" ht="15" customHeight="1" s="4" customFormat="1">
      <c r="A632" s="4" t="str">
        <f>IF(LEN('Open Positions'!B630)&gt;0,'Open Positions'!B630,"")</f>
      </c>
      <c r="B632" s="4" t="str">
        <f>IF(LEN('CALC'!A632)&gt;0,'Open Positions'!F630,"")</f>
      </c>
      <c r="C632" s="39" t="str">
        <f>IF(LEN(A632)&gt;0,'Open Positions'!Q630,"")</f>
      </c>
      <c r="D632" s="29" t="str">
        <f>IF(LEN(A632)&gt;0,B632*C632,"")</f>
      </c>
    </row>
    <row r="633" ht="15" customHeight="1" s="4" customFormat="1">
      <c r="A633" s="4" t="str">
        <f>IF(LEN('Open Positions'!B631)&gt;0,'Open Positions'!B631,"")</f>
      </c>
      <c r="B633" s="4" t="str">
        <f>IF(LEN('CALC'!A633)&gt;0,'Open Positions'!F631,"")</f>
      </c>
      <c r="C633" s="39" t="str">
        <f>IF(LEN(A633)&gt;0,'Open Positions'!Q631,"")</f>
      </c>
      <c r="D633" s="29" t="str">
        <f>IF(LEN(A633)&gt;0,B633*C633,"")</f>
      </c>
    </row>
    <row r="634" ht="15" customHeight="1" s="4" customFormat="1">
      <c r="A634" s="4" t="str">
        <f>IF(LEN('Open Positions'!B632)&gt;0,'Open Positions'!B632,"")</f>
      </c>
      <c r="B634" s="4" t="str">
        <f>IF(LEN('CALC'!A634)&gt;0,'Open Positions'!F632,"")</f>
      </c>
      <c r="C634" s="39" t="str">
        <f>IF(LEN(A634)&gt;0,'Open Positions'!Q632,"")</f>
      </c>
      <c r="D634" s="29" t="str">
        <f>IF(LEN(A634)&gt;0,B634*C634,"")</f>
      </c>
    </row>
    <row r="635" ht="15" customHeight="1" s="4" customFormat="1">
      <c r="A635" s="4" t="str">
        <f>IF(LEN('Open Positions'!B633)&gt;0,'Open Positions'!B633,"")</f>
      </c>
      <c r="B635" s="4" t="str">
        <f>IF(LEN('CALC'!A635)&gt;0,'Open Positions'!F633,"")</f>
      </c>
      <c r="C635" s="39" t="str">
        <f>IF(LEN(A635)&gt;0,'Open Positions'!Q633,"")</f>
      </c>
      <c r="D635" s="29" t="str">
        <f>IF(LEN(A635)&gt;0,B635*C635,"")</f>
      </c>
    </row>
    <row r="636" ht="15" customHeight="1" s="4" customFormat="1">
      <c r="A636" s="4" t="str">
        <f>IF(LEN('Open Positions'!B634)&gt;0,'Open Positions'!B634,"")</f>
      </c>
      <c r="B636" s="4" t="str">
        <f>IF(LEN('CALC'!A636)&gt;0,'Open Positions'!F634,"")</f>
      </c>
      <c r="C636" s="39" t="str">
        <f>IF(LEN(A636)&gt;0,'Open Positions'!Q634,"")</f>
      </c>
      <c r="D636" s="29" t="str">
        <f>IF(LEN(A636)&gt;0,B636*C636,"")</f>
      </c>
    </row>
    <row r="637" ht="15" customHeight="1" s="4" customFormat="1">
      <c r="A637" s="4" t="str">
        <f>IF(LEN('Open Positions'!B635)&gt;0,'Open Positions'!B635,"")</f>
      </c>
      <c r="B637" s="4" t="str">
        <f>IF(LEN('CALC'!A637)&gt;0,'Open Positions'!F635,"")</f>
      </c>
      <c r="C637" s="39" t="str">
        <f>IF(LEN(A637)&gt;0,'Open Positions'!Q635,"")</f>
      </c>
      <c r="D637" s="29" t="str">
        <f>IF(LEN(A637)&gt;0,B637*C637,"")</f>
      </c>
    </row>
    <row r="638" ht="15" customHeight="1" s="4" customFormat="1">
      <c r="A638" s="4" t="str">
        <f>IF(LEN('Open Positions'!B636)&gt;0,'Open Positions'!B636,"")</f>
      </c>
      <c r="B638" s="4" t="str">
        <f>IF(LEN('CALC'!A638)&gt;0,'Open Positions'!F636,"")</f>
      </c>
      <c r="C638" s="39" t="str">
        <f>IF(LEN(A638)&gt;0,'Open Positions'!Q636,"")</f>
      </c>
      <c r="D638" s="29" t="str">
        <f>IF(LEN(A638)&gt;0,B638*C638,"")</f>
      </c>
    </row>
    <row r="639" ht="15" customHeight="1" s="4" customFormat="1">
      <c r="A639" s="4" t="str">
        <f>IF(LEN('Open Positions'!B637)&gt;0,'Open Positions'!B637,"")</f>
      </c>
      <c r="B639" s="4" t="str">
        <f>IF(LEN('CALC'!A639)&gt;0,'Open Positions'!F637,"")</f>
      </c>
      <c r="C639" s="39" t="str">
        <f>IF(LEN(A639)&gt;0,'Open Positions'!Q637,"")</f>
      </c>
      <c r="D639" s="29" t="str">
        <f>IF(LEN(A639)&gt;0,B639*C639,"")</f>
      </c>
    </row>
    <row r="640" ht="15" customHeight="1" s="4" customFormat="1">
      <c r="A640" s="4" t="str">
        <f>IF(LEN('Open Positions'!B638)&gt;0,'Open Positions'!B638,"")</f>
      </c>
      <c r="B640" s="4" t="str">
        <f>IF(LEN('CALC'!A640)&gt;0,'Open Positions'!F638,"")</f>
      </c>
      <c r="C640" s="39" t="str">
        <f>IF(LEN(A640)&gt;0,'Open Positions'!Q638,"")</f>
      </c>
      <c r="D640" s="29" t="str">
        <f>IF(LEN(A640)&gt;0,B640*C640,"")</f>
      </c>
    </row>
    <row r="641" ht="15" customHeight="1" s="4" customFormat="1">
      <c r="A641" s="4" t="str">
        <f>IF(LEN('Open Positions'!B639)&gt;0,'Open Positions'!B639,"")</f>
      </c>
      <c r="B641" s="4" t="str">
        <f>IF(LEN('CALC'!A641)&gt;0,'Open Positions'!F639,"")</f>
      </c>
      <c r="C641" s="39" t="str">
        <f>IF(LEN(A641)&gt;0,'Open Positions'!Q639,"")</f>
      </c>
      <c r="D641" s="29" t="str">
        <f>IF(LEN(A641)&gt;0,B641*C641,"")</f>
      </c>
    </row>
    <row r="642" ht="15" customHeight="1" s="4" customFormat="1">
      <c r="A642" s="4" t="str">
        <f>IF(LEN('Open Positions'!B640)&gt;0,'Open Positions'!B640,"")</f>
      </c>
      <c r="B642" s="4" t="str">
        <f>IF(LEN('CALC'!A642)&gt;0,'Open Positions'!F640,"")</f>
      </c>
      <c r="C642" s="39" t="str">
        <f>IF(LEN(A642)&gt;0,'Open Positions'!Q640,"")</f>
      </c>
      <c r="D642" s="29" t="str">
        <f>IF(LEN(A642)&gt;0,B642*C642,"")</f>
      </c>
    </row>
    <row r="643" ht="15" customHeight="1" s="4" customFormat="1">
      <c r="A643" s="4" t="str">
        <f>IF(LEN('Open Positions'!B641)&gt;0,'Open Positions'!B641,"")</f>
      </c>
      <c r="B643" s="4" t="str">
        <f>IF(LEN('CALC'!A643)&gt;0,'Open Positions'!F641,"")</f>
      </c>
      <c r="C643" s="39" t="str">
        <f>IF(LEN(A643)&gt;0,'Open Positions'!Q641,"")</f>
      </c>
      <c r="D643" s="29" t="str">
        <f>IF(LEN(A643)&gt;0,B643*C643,"")</f>
      </c>
    </row>
    <row r="644" ht="15" customHeight="1" s="4" customFormat="1">
      <c r="A644" s="4" t="str">
        <f>IF(LEN('Open Positions'!B642)&gt;0,'Open Positions'!B642,"")</f>
      </c>
      <c r="B644" s="4" t="str">
        <f>IF(LEN('CALC'!A644)&gt;0,'Open Positions'!F642,"")</f>
      </c>
      <c r="C644" s="39" t="str">
        <f>IF(LEN(A644)&gt;0,'Open Positions'!Q642,"")</f>
      </c>
      <c r="D644" s="29" t="str">
        <f>IF(LEN(A644)&gt;0,B644*C644,"")</f>
      </c>
    </row>
    <row r="645" ht="15" customHeight="1" s="4" customFormat="1">
      <c r="A645" s="4" t="str">
        <f>IF(LEN('Open Positions'!B643)&gt;0,'Open Positions'!B643,"")</f>
      </c>
      <c r="B645" s="4" t="str">
        <f>IF(LEN('CALC'!A645)&gt;0,'Open Positions'!F643,"")</f>
      </c>
      <c r="C645" s="39" t="str">
        <f>IF(LEN(A645)&gt;0,'Open Positions'!Q643,"")</f>
      </c>
      <c r="D645" s="29" t="str">
        <f>IF(LEN(A645)&gt;0,B645*C645,"")</f>
      </c>
    </row>
    <row r="646" ht="15" customHeight="1" s="4" customFormat="1">
      <c r="A646" s="4" t="str">
        <f>IF(LEN('Open Positions'!B644)&gt;0,'Open Positions'!B644,"")</f>
      </c>
      <c r="B646" s="4" t="str">
        <f>IF(LEN('CALC'!A646)&gt;0,'Open Positions'!F644,"")</f>
      </c>
      <c r="C646" s="39" t="str">
        <f>IF(LEN(A646)&gt;0,'Open Positions'!Q644,"")</f>
      </c>
      <c r="D646" s="29" t="str">
        <f>IF(LEN(A646)&gt;0,B646*C646,"")</f>
      </c>
    </row>
    <row r="647" ht="15" customHeight="1" s="4" customFormat="1">
      <c r="A647" s="4" t="str">
        <f>IF(LEN('Open Positions'!B645)&gt;0,'Open Positions'!B645,"")</f>
      </c>
      <c r="B647" s="4" t="str">
        <f>IF(LEN('CALC'!A647)&gt;0,'Open Positions'!F645,"")</f>
      </c>
      <c r="C647" s="39" t="str">
        <f>IF(LEN(A647)&gt;0,'Open Positions'!Q645,"")</f>
      </c>
      <c r="D647" s="29" t="str">
        <f>IF(LEN(A647)&gt;0,B647*C647,"")</f>
      </c>
    </row>
    <row r="648" ht="15" customHeight="1" s="4" customFormat="1">
      <c r="A648" s="4" t="str">
        <f>IF(LEN('Open Positions'!B646)&gt;0,'Open Positions'!B646,"")</f>
      </c>
      <c r="B648" s="4" t="str">
        <f>IF(LEN('CALC'!A648)&gt;0,'Open Positions'!F646,"")</f>
      </c>
      <c r="C648" s="39" t="str">
        <f>IF(LEN(A648)&gt;0,'Open Positions'!Q646,"")</f>
      </c>
      <c r="D648" s="29" t="str">
        <f>IF(LEN(A648)&gt;0,B648*C648,"")</f>
      </c>
    </row>
    <row r="649" ht="15" customHeight="1" s="4" customFormat="1">
      <c r="A649" s="4" t="str">
        <f>IF(LEN('Open Positions'!B647)&gt;0,'Open Positions'!B647,"")</f>
      </c>
      <c r="B649" s="4" t="str">
        <f>IF(LEN('CALC'!A649)&gt;0,'Open Positions'!F647,"")</f>
      </c>
      <c r="C649" s="39" t="str">
        <f>IF(LEN(A649)&gt;0,'Open Positions'!Q647,"")</f>
      </c>
      <c r="D649" s="29" t="str">
        <f>IF(LEN(A649)&gt;0,B649*C649,"")</f>
      </c>
    </row>
    <row r="650" ht="15" customHeight="1" s="4" customFormat="1">
      <c r="A650" s="4" t="str">
        <f>IF(LEN('Open Positions'!B648)&gt;0,'Open Positions'!B648,"")</f>
      </c>
      <c r="B650" s="4" t="str">
        <f>IF(LEN('CALC'!A650)&gt;0,'Open Positions'!F648,"")</f>
      </c>
      <c r="C650" s="39" t="str">
        <f>IF(LEN(A650)&gt;0,'Open Positions'!Q648,"")</f>
      </c>
      <c r="D650" s="29" t="str">
        <f>IF(LEN(A650)&gt;0,B650*C650,"")</f>
      </c>
    </row>
    <row r="651" ht="15" customHeight="1" s="4" customFormat="1">
      <c r="A651" s="4" t="str">
        <f>IF(LEN('Open Positions'!B649)&gt;0,'Open Positions'!B649,"")</f>
      </c>
      <c r="B651" s="4" t="str">
        <f>IF(LEN('CALC'!A651)&gt;0,'Open Positions'!F649,"")</f>
      </c>
      <c r="C651" s="39" t="str">
        <f>IF(LEN(A651)&gt;0,'Open Positions'!Q649,"")</f>
      </c>
      <c r="D651" s="29" t="str">
        <f>IF(LEN(A651)&gt;0,B651*C651,"")</f>
      </c>
    </row>
    <row r="652" ht="15" customHeight="1" s="4" customFormat="1">
      <c r="A652" s="4" t="str">
        <f>IF(LEN('Open Positions'!B650)&gt;0,'Open Positions'!B650,"")</f>
      </c>
      <c r="B652" s="4" t="str">
        <f>IF(LEN('CALC'!A652)&gt;0,'Open Positions'!F650,"")</f>
      </c>
      <c r="C652" s="39" t="str">
        <f>IF(LEN(A652)&gt;0,'Open Positions'!Q650,"")</f>
      </c>
      <c r="D652" s="29" t="str">
        <f>IF(LEN(A652)&gt;0,B652*C652,"")</f>
      </c>
    </row>
    <row r="653" ht="15" customHeight="1" s="4" customFormat="1">
      <c r="A653" s="4" t="str">
        <f>IF(LEN('Open Positions'!B651)&gt;0,'Open Positions'!B651,"")</f>
      </c>
      <c r="B653" s="4" t="str">
        <f>IF(LEN('CALC'!A653)&gt;0,'Open Positions'!F651,"")</f>
      </c>
      <c r="C653" s="39" t="str">
        <f>IF(LEN(A653)&gt;0,'Open Positions'!Q651,"")</f>
      </c>
      <c r="D653" s="29" t="str">
        <f>IF(LEN(A653)&gt;0,B653*C653,"")</f>
      </c>
    </row>
    <row r="654" ht="15" customHeight="1" s="4" customFormat="1">
      <c r="A654" s="4" t="str">
        <f>IF(LEN('Open Positions'!B652)&gt;0,'Open Positions'!B652,"")</f>
      </c>
      <c r="B654" s="4" t="str">
        <f>IF(LEN('CALC'!A654)&gt;0,'Open Positions'!F652,"")</f>
      </c>
      <c r="C654" s="39" t="str">
        <f>IF(LEN(A654)&gt;0,'Open Positions'!Q652,"")</f>
      </c>
      <c r="D654" s="29" t="str">
        <f>IF(LEN(A654)&gt;0,B654*C654,"")</f>
      </c>
    </row>
    <row r="655" ht="15" customHeight="1" s="4" customFormat="1">
      <c r="A655" s="4" t="str">
        <f>IF(LEN('Open Positions'!B653)&gt;0,'Open Positions'!B653,"")</f>
      </c>
      <c r="B655" s="4" t="str">
        <f>IF(LEN('CALC'!A655)&gt;0,'Open Positions'!F653,"")</f>
      </c>
      <c r="C655" s="39" t="str">
        <f>IF(LEN(A655)&gt;0,'Open Positions'!Q653,"")</f>
      </c>
      <c r="D655" s="29" t="str">
        <f>IF(LEN(A655)&gt;0,B655*C655,"")</f>
      </c>
    </row>
    <row r="656" ht="15" customHeight="1" s="4" customFormat="1">
      <c r="A656" s="4" t="str">
        <f>IF(LEN('Open Positions'!B654)&gt;0,'Open Positions'!B654,"")</f>
      </c>
      <c r="B656" s="4" t="str">
        <f>IF(LEN('CALC'!A656)&gt;0,'Open Positions'!F654,"")</f>
      </c>
      <c r="C656" s="39" t="str">
        <f>IF(LEN(A656)&gt;0,'Open Positions'!Q654,"")</f>
      </c>
      <c r="D656" s="29" t="str">
        <f>IF(LEN(A656)&gt;0,B656*C656,"")</f>
      </c>
    </row>
    <row r="657" ht="15" customHeight="1" s="4" customFormat="1">
      <c r="A657" s="4" t="str">
        <f>IF(LEN('Open Positions'!B655)&gt;0,'Open Positions'!B655,"")</f>
      </c>
      <c r="B657" s="4" t="str">
        <f>IF(LEN('CALC'!A657)&gt;0,'Open Positions'!F655,"")</f>
      </c>
      <c r="C657" s="39" t="str">
        <f>IF(LEN(A657)&gt;0,'Open Positions'!Q655,"")</f>
      </c>
      <c r="D657" s="29" t="str">
        <f>IF(LEN(A657)&gt;0,B657*C657,"")</f>
      </c>
    </row>
    <row r="658" ht="15" customHeight="1" s="4" customFormat="1">
      <c r="A658" s="4" t="str">
        <f>IF(LEN('Open Positions'!B656)&gt;0,'Open Positions'!B656,"")</f>
      </c>
      <c r="B658" s="4" t="str">
        <f>IF(LEN('CALC'!A658)&gt;0,'Open Positions'!F656,"")</f>
      </c>
      <c r="C658" s="39" t="str">
        <f>IF(LEN(A658)&gt;0,'Open Positions'!Q656,"")</f>
      </c>
      <c r="D658" s="29" t="str">
        <f>IF(LEN(A658)&gt;0,B658*C658,"")</f>
      </c>
    </row>
    <row r="659" ht="15" customHeight="1" s="4" customFormat="1">
      <c r="A659" s="4" t="str">
        <f>IF(LEN('Open Positions'!B657)&gt;0,'Open Positions'!B657,"")</f>
      </c>
      <c r="B659" s="4" t="str">
        <f>IF(LEN('CALC'!A659)&gt;0,'Open Positions'!F657,"")</f>
      </c>
      <c r="C659" s="39" t="str">
        <f>IF(LEN(A659)&gt;0,'Open Positions'!Q657,"")</f>
      </c>
      <c r="D659" s="29" t="str">
        <f>IF(LEN(A659)&gt;0,B659*C659,"")</f>
      </c>
    </row>
    <row r="660" ht="15" customHeight="1" s="4" customFormat="1">
      <c r="A660" s="4" t="str">
        <f>IF(LEN('Open Positions'!B658)&gt;0,'Open Positions'!B658,"")</f>
      </c>
      <c r="B660" s="4" t="str">
        <f>IF(LEN('CALC'!A660)&gt;0,'Open Positions'!F658,"")</f>
      </c>
      <c r="C660" s="39" t="str">
        <f>IF(LEN(A660)&gt;0,'Open Positions'!Q658,"")</f>
      </c>
      <c r="D660" s="29" t="str">
        <f>IF(LEN(A660)&gt;0,B660*C660,"")</f>
      </c>
    </row>
    <row r="661" ht="15" customHeight="1" s="4" customFormat="1">
      <c r="A661" s="4" t="str">
        <f>IF(LEN('Open Positions'!B659)&gt;0,'Open Positions'!B659,"")</f>
      </c>
      <c r="B661" s="4" t="str">
        <f>IF(LEN('CALC'!A661)&gt;0,'Open Positions'!F659,"")</f>
      </c>
      <c r="C661" s="39" t="str">
        <f>IF(LEN(A661)&gt;0,'Open Positions'!Q659,"")</f>
      </c>
      <c r="D661" s="29" t="str">
        <f>IF(LEN(A661)&gt;0,B661*C661,"")</f>
      </c>
    </row>
    <row r="662" ht="15" customHeight="1" s="4" customFormat="1">
      <c r="A662" s="4" t="str">
        <f>IF(LEN('Open Positions'!B660)&gt;0,'Open Positions'!B660,"")</f>
      </c>
      <c r="B662" s="4" t="str">
        <f>IF(LEN('CALC'!A662)&gt;0,'Open Positions'!F660,"")</f>
      </c>
      <c r="C662" s="39" t="str">
        <f>IF(LEN(A662)&gt;0,'Open Positions'!Q660,"")</f>
      </c>
      <c r="D662" s="29" t="str">
        <f>IF(LEN(A662)&gt;0,B662*C662,"")</f>
      </c>
    </row>
    <row r="663" ht="15" customHeight="1" s="4" customFormat="1">
      <c r="A663" s="4" t="str">
        <f>IF(LEN('Open Positions'!B661)&gt;0,'Open Positions'!B661,"")</f>
      </c>
      <c r="B663" s="4" t="str">
        <f>IF(LEN('CALC'!A663)&gt;0,'Open Positions'!F661,"")</f>
      </c>
      <c r="C663" s="39" t="str">
        <f>IF(LEN(A663)&gt;0,'Open Positions'!Q661,"")</f>
      </c>
      <c r="D663" s="29" t="str">
        <f>IF(LEN(A663)&gt;0,B663*C663,"")</f>
      </c>
    </row>
    <row r="664" ht="15" customHeight="1" s="4" customFormat="1">
      <c r="A664" s="4" t="str">
        <f>IF(LEN('Open Positions'!B662)&gt;0,'Open Positions'!B662,"")</f>
      </c>
      <c r="B664" s="4" t="str">
        <f>IF(LEN('CALC'!A664)&gt;0,'Open Positions'!F662,"")</f>
      </c>
      <c r="C664" s="39" t="str">
        <f>IF(LEN(A664)&gt;0,'Open Positions'!Q662,"")</f>
      </c>
      <c r="D664" s="29" t="str">
        <f>IF(LEN(A664)&gt;0,B664*C664,"")</f>
      </c>
    </row>
    <row r="665" ht="15" customHeight="1" s="4" customFormat="1">
      <c r="A665" s="4" t="str">
        <f>IF(LEN('Open Positions'!B663)&gt;0,'Open Positions'!B663,"")</f>
      </c>
      <c r="B665" s="4" t="str">
        <f>IF(LEN('CALC'!A665)&gt;0,'Open Positions'!F663,"")</f>
      </c>
      <c r="C665" s="39" t="str">
        <f>IF(LEN(A665)&gt;0,'Open Positions'!Q663,"")</f>
      </c>
      <c r="D665" s="29" t="str">
        <f>IF(LEN(A665)&gt;0,B665*C665,"")</f>
      </c>
    </row>
    <row r="666" ht="15" customHeight="1" s="4" customFormat="1">
      <c r="A666" s="4" t="str">
        <f>IF(LEN('Open Positions'!B664)&gt;0,'Open Positions'!B664,"")</f>
      </c>
      <c r="B666" s="4" t="str">
        <f>IF(LEN('CALC'!A666)&gt;0,'Open Positions'!F664,"")</f>
      </c>
      <c r="C666" s="39" t="str">
        <f>IF(LEN(A666)&gt;0,'Open Positions'!Q664,"")</f>
      </c>
      <c r="D666" s="29" t="str">
        <f>IF(LEN(A666)&gt;0,B666*C666,"")</f>
      </c>
    </row>
    <row r="667" ht="15" customHeight="1" s="4" customFormat="1">
      <c r="A667" s="4" t="str">
        <f>IF(LEN('Open Positions'!B665)&gt;0,'Open Positions'!B665,"")</f>
      </c>
      <c r="B667" s="4" t="str">
        <f>IF(LEN('CALC'!A667)&gt;0,'Open Positions'!F665,"")</f>
      </c>
      <c r="C667" s="39" t="str">
        <f>IF(LEN(A667)&gt;0,'Open Positions'!Q665,"")</f>
      </c>
      <c r="D667" s="29" t="str">
        <f>IF(LEN(A667)&gt;0,B667*C667,"")</f>
      </c>
    </row>
    <row r="668" ht="15" customHeight="1" s="4" customFormat="1">
      <c r="A668" s="4" t="str">
        <f>IF(LEN('Open Positions'!B666)&gt;0,'Open Positions'!B666,"")</f>
      </c>
      <c r="B668" s="4" t="str">
        <f>IF(LEN('CALC'!A668)&gt;0,'Open Positions'!F666,"")</f>
      </c>
      <c r="C668" s="39" t="str">
        <f>IF(LEN(A668)&gt;0,'Open Positions'!Q666,"")</f>
      </c>
      <c r="D668" s="29" t="str">
        <f>IF(LEN(A668)&gt;0,B668*C668,"")</f>
      </c>
    </row>
    <row r="669" ht="15" customHeight="1" s="4" customFormat="1">
      <c r="A669" s="4" t="str">
        <f>IF(LEN('Open Positions'!B667)&gt;0,'Open Positions'!B667,"")</f>
      </c>
      <c r="B669" s="4" t="str">
        <f>IF(LEN('CALC'!A669)&gt;0,'Open Positions'!F667,"")</f>
      </c>
      <c r="C669" s="39" t="str">
        <f>IF(LEN(A669)&gt;0,'Open Positions'!Q667,"")</f>
      </c>
      <c r="D669" s="29" t="str">
        <f>IF(LEN(A669)&gt;0,B669*C669,"")</f>
      </c>
    </row>
    <row r="670" ht="15" customHeight="1" s="4" customFormat="1">
      <c r="A670" s="4" t="str">
        <f>IF(LEN('Open Positions'!B668)&gt;0,'Open Positions'!B668,"")</f>
      </c>
      <c r="B670" s="4" t="str">
        <f>IF(LEN('CALC'!A670)&gt;0,'Open Positions'!F668,"")</f>
      </c>
      <c r="C670" s="39" t="str">
        <f>IF(LEN(A670)&gt;0,'Open Positions'!Q668,"")</f>
      </c>
      <c r="D670" s="29" t="str">
        <f>IF(LEN(A670)&gt;0,B670*C670,"")</f>
      </c>
    </row>
    <row r="671" ht="15" customHeight="1" s="4" customFormat="1">
      <c r="A671" s="4" t="str">
        <f>IF(LEN('Open Positions'!B669)&gt;0,'Open Positions'!B669,"")</f>
      </c>
      <c r="B671" s="4" t="str">
        <f>IF(LEN('CALC'!A671)&gt;0,'Open Positions'!F669,"")</f>
      </c>
      <c r="C671" s="39" t="str">
        <f>IF(LEN(A671)&gt;0,'Open Positions'!Q669,"")</f>
      </c>
      <c r="D671" s="29" t="str">
        <f>IF(LEN(A671)&gt;0,B671*C671,"")</f>
      </c>
    </row>
    <row r="672" ht="15" customHeight="1" s="4" customFormat="1">
      <c r="A672" s="4" t="str">
        <f>IF(LEN('Open Positions'!B670)&gt;0,'Open Positions'!B670,"")</f>
      </c>
      <c r="B672" s="4" t="str">
        <f>IF(LEN('CALC'!A672)&gt;0,'Open Positions'!F670,"")</f>
      </c>
      <c r="C672" s="39" t="str">
        <f>IF(LEN(A672)&gt;0,'Open Positions'!Q670,"")</f>
      </c>
      <c r="D672" s="29" t="str">
        <f>IF(LEN(A672)&gt;0,B672*C672,"")</f>
      </c>
    </row>
    <row r="673" ht="15" customHeight="1" s="4" customFormat="1">
      <c r="A673" s="4" t="str">
        <f>IF(LEN('Open Positions'!B671)&gt;0,'Open Positions'!B671,"")</f>
      </c>
      <c r="B673" s="4" t="str">
        <f>IF(LEN('CALC'!A673)&gt;0,'Open Positions'!F671,"")</f>
      </c>
      <c r="C673" s="39" t="str">
        <f>IF(LEN(A673)&gt;0,'Open Positions'!Q671,"")</f>
      </c>
      <c r="D673" s="29" t="str">
        <f>IF(LEN(A673)&gt;0,B673*C673,"")</f>
      </c>
    </row>
    <row r="674" ht="15" customHeight="1" s="4" customFormat="1">
      <c r="A674" s="4" t="str">
        <f>IF(LEN('Open Positions'!B672)&gt;0,'Open Positions'!B672,"")</f>
      </c>
      <c r="B674" s="4" t="str">
        <f>IF(LEN('CALC'!A674)&gt;0,'Open Positions'!F672,"")</f>
      </c>
      <c r="C674" s="39" t="str">
        <f>IF(LEN(A674)&gt;0,'Open Positions'!Q672,"")</f>
      </c>
      <c r="D674" s="29" t="str">
        <f>IF(LEN(A674)&gt;0,B674*C674,"")</f>
      </c>
    </row>
    <row r="675" ht="15" customHeight="1" s="4" customFormat="1">
      <c r="A675" s="4" t="str">
        <f>IF(LEN('Open Positions'!B673)&gt;0,'Open Positions'!B673,"")</f>
      </c>
      <c r="B675" s="4" t="str">
        <f>IF(LEN('CALC'!A675)&gt;0,'Open Positions'!F673,"")</f>
      </c>
      <c r="C675" s="39" t="str">
        <f>IF(LEN(A675)&gt;0,'Open Positions'!Q673,"")</f>
      </c>
      <c r="D675" s="29" t="str">
        <f>IF(LEN(A675)&gt;0,B675*C675,"")</f>
      </c>
    </row>
    <row r="676" ht="15" customHeight="1" s="4" customFormat="1">
      <c r="A676" s="4" t="str">
        <f>IF(LEN('Open Positions'!B674)&gt;0,'Open Positions'!B674,"")</f>
      </c>
      <c r="B676" s="4" t="str">
        <f>IF(LEN('CALC'!A676)&gt;0,'Open Positions'!F674,"")</f>
      </c>
      <c r="C676" s="39" t="str">
        <f>IF(LEN(A676)&gt;0,'Open Positions'!Q674,"")</f>
      </c>
      <c r="D676" s="29" t="str">
        <f>IF(LEN(A676)&gt;0,B676*C676,"")</f>
      </c>
    </row>
    <row r="677" ht="15" customHeight="1" s="4" customFormat="1">
      <c r="A677" s="4" t="str">
        <f>IF(LEN('Open Positions'!B675)&gt;0,'Open Positions'!B675,"")</f>
      </c>
      <c r="B677" s="4" t="str">
        <f>IF(LEN('CALC'!A677)&gt;0,'Open Positions'!F675,"")</f>
      </c>
      <c r="C677" s="39" t="str">
        <f>IF(LEN(A677)&gt;0,'Open Positions'!Q675,"")</f>
      </c>
      <c r="D677" s="29" t="str">
        <f>IF(LEN(A677)&gt;0,B677*C677,"")</f>
      </c>
    </row>
    <row r="678" ht="15" customHeight="1" s="4" customFormat="1">
      <c r="A678" s="4" t="str">
        <f>IF(LEN('Open Positions'!B676)&gt;0,'Open Positions'!B676,"")</f>
      </c>
      <c r="B678" s="4" t="str">
        <f>IF(LEN('CALC'!A678)&gt;0,'Open Positions'!F676,"")</f>
      </c>
      <c r="C678" s="39" t="str">
        <f>IF(LEN(A678)&gt;0,'Open Positions'!Q676,"")</f>
      </c>
      <c r="D678" s="29" t="str">
        <f>IF(LEN(A678)&gt;0,B678*C678,"")</f>
      </c>
    </row>
    <row r="679" ht="15" customHeight="1" s="4" customFormat="1">
      <c r="A679" s="4" t="str">
        <f>IF(LEN('Open Positions'!B677)&gt;0,'Open Positions'!B677,"")</f>
      </c>
      <c r="B679" s="4" t="str">
        <f>IF(LEN('CALC'!A679)&gt;0,'Open Positions'!F677,"")</f>
      </c>
      <c r="C679" s="39" t="str">
        <f>IF(LEN(A679)&gt;0,'Open Positions'!Q677,"")</f>
      </c>
      <c r="D679" s="29" t="str">
        <f>IF(LEN(A679)&gt;0,B679*C679,"")</f>
      </c>
    </row>
    <row r="680" ht="15" customHeight="1" s="4" customFormat="1">
      <c r="A680" s="4" t="str">
        <f>IF(LEN('Open Positions'!B678)&gt;0,'Open Positions'!B678,"")</f>
      </c>
      <c r="B680" s="4" t="str">
        <f>IF(LEN('CALC'!A680)&gt;0,'Open Positions'!F678,"")</f>
      </c>
      <c r="C680" s="39" t="str">
        <f>IF(LEN(A680)&gt;0,'Open Positions'!Q678,"")</f>
      </c>
      <c r="D680" s="29" t="str">
        <f>IF(LEN(A680)&gt;0,B680*C680,"")</f>
      </c>
    </row>
    <row r="681" ht="15" customHeight="1" s="4" customFormat="1">
      <c r="A681" s="4" t="str">
        <f>IF(LEN('Open Positions'!B679)&gt;0,'Open Positions'!B679,"")</f>
      </c>
      <c r="B681" s="4" t="str">
        <f>IF(LEN('CALC'!A681)&gt;0,'Open Positions'!F679,"")</f>
      </c>
      <c r="C681" s="39" t="str">
        <f>IF(LEN(A681)&gt;0,'Open Positions'!Q679,"")</f>
      </c>
      <c r="D681" s="29" t="str">
        <f>IF(LEN(A681)&gt;0,B681*C681,"")</f>
      </c>
    </row>
    <row r="682" ht="15" customHeight="1" s="4" customFormat="1">
      <c r="A682" s="4" t="str">
        <f>IF(LEN('Open Positions'!B680)&gt;0,'Open Positions'!B680,"")</f>
      </c>
      <c r="B682" s="4" t="str">
        <f>IF(LEN('CALC'!A682)&gt;0,'Open Positions'!F680,"")</f>
      </c>
      <c r="C682" s="39" t="str">
        <f>IF(LEN(A682)&gt;0,'Open Positions'!Q680,"")</f>
      </c>
      <c r="D682" s="29" t="str">
        <f>IF(LEN(A682)&gt;0,B682*C682,"")</f>
      </c>
    </row>
    <row r="683" ht="15" customHeight="1" s="4" customFormat="1">
      <c r="A683" s="4" t="str">
        <f>IF(LEN('Open Positions'!B681)&gt;0,'Open Positions'!B681,"")</f>
      </c>
      <c r="B683" s="4" t="str">
        <f>IF(LEN('CALC'!A683)&gt;0,'Open Positions'!F681,"")</f>
      </c>
      <c r="C683" s="39" t="str">
        <f>IF(LEN(A683)&gt;0,'Open Positions'!Q681,"")</f>
      </c>
      <c r="D683" s="29" t="str">
        <f>IF(LEN(A683)&gt;0,B683*C683,"")</f>
      </c>
    </row>
    <row r="684" ht="15" customHeight="1" s="4" customFormat="1">
      <c r="A684" s="4" t="str">
        <f>IF(LEN('Open Positions'!B682)&gt;0,'Open Positions'!B682,"")</f>
      </c>
      <c r="B684" s="4" t="str">
        <f>IF(LEN('CALC'!A684)&gt;0,'Open Positions'!F682,"")</f>
      </c>
      <c r="C684" s="39" t="str">
        <f>IF(LEN(A684)&gt;0,'Open Positions'!Q682,"")</f>
      </c>
      <c r="D684" s="29" t="str">
        <f>IF(LEN(A684)&gt;0,B684*C684,"")</f>
      </c>
    </row>
    <row r="685" ht="15" customHeight="1" s="4" customFormat="1">
      <c r="A685" s="4" t="str">
        <f>IF(LEN('Open Positions'!B683)&gt;0,'Open Positions'!B683,"")</f>
      </c>
      <c r="B685" s="4" t="str">
        <f>IF(LEN('CALC'!A685)&gt;0,'Open Positions'!F683,"")</f>
      </c>
      <c r="C685" s="39" t="str">
        <f>IF(LEN(A685)&gt;0,'Open Positions'!Q683,"")</f>
      </c>
      <c r="D685" s="29" t="str">
        <f>IF(LEN(A685)&gt;0,B685*C685,"")</f>
      </c>
    </row>
    <row r="686" ht="15" customHeight="1" s="4" customFormat="1">
      <c r="A686" s="4" t="str">
        <f>IF(LEN('Open Positions'!B684)&gt;0,'Open Positions'!B684,"")</f>
      </c>
      <c r="B686" s="4" t="str">
        <f>IF(LEN('CALC'!A686)&gt;0,'Open Positions'!F684,"")</f>
      </c>
      <c r="C686" s="39" t="str">
        <f>IF(LEN(A686)&gt;0,'Open Positions'!Q684,"")</f>
      </c>
      <c r="D686" s="29" t="str">
        <f>IF(LEN(A686)&gt;0,B686*C686,"")</f>
      </c>
    </row>
    <row r="687" ht="15" customHeight="1" s="4" customFormat="1">
      <c r="A687" s="4" t="str">
        <f>IF(LEN('Open Positions'!B685)&gt;0,'Open Positions'!B685,"")</f>
      </c>
      <c r="B687" s="4" t="str">
        <f>IF(LEN('CALC'!A687)&gt;0,'Open Positions'!F685,"")</f>
      </c>
      <c r="C687" s="39" t="str">
        <f>IF(LEN(A687)&gt;0,'Open Positions'!Q685,"")</f>
      </c>
      <c r="D687" s="29" t="str">
        <f>IF(LEN(A687)&gt;0,B687*C687,"")</f>
      </c>
    </row>
    <row r="688" ht="15" customHeight="1" s="4" customFormat="1">
      <c r="A688" s="4" t="str">
        <f>IF(LEN('Open Positions'!B686)&gt;0,'Open Positions'!B686,"")</f>
      </c>
      <c r="B688" s="4" t="str">
        <f>IF(LEN('CALC'!A688)&gt;0,'Open Positions'!F686,"")</f>
      </c>
      <c r="C688" s="39" t="str">
        <f>IF(LEN(A688)&gt;0,'Open Positions'!Q686,"")</f>
      </c>
      <c r="D688" s="29" t="str">
        <f>IF(LEN(A688)&gt;0,B688*C688,"")</f>
      </c>
    </row>
    <row r="689" ht="15" customHeight="1" s="4" customFormat="1">
      <c r="A689" s="4" t="str">
        <f>IF(LEN('Open Positions'!B687)&gt;0,'Open Positions'!B687,"")</f>
      </c>
      <c r="B689" s="4" t="str">
        <f>IF(LEN('CALC'!A689)&gt;0,'Open Positions'!F687,"")</f>
      </c>
      <c r="C689" s="39" t="str">
        <f>IF(LEN(A689)&gt;0,'Open Positions'!Q687,"")</f>
      </c>
      <c r="D689" s="29" t="str">
        <f>IF(LEN(A689)&gt;0,B689*C689,"")</f>
      </c>
    </row>
    <row r="690" ht="15" customHeight="1" s="4" customFormat="1">
      <c r="A690" s="4" t="str">
        <f>IF(LEN('Open Positions'!B688)&gt;0,'Open Positions'!B688,"")</f>
      </c>
      <c r="B690" s="4" t="str">
        <f>IF(LEN('CALC'!A690)&gt;0,'Open Positions'!F688,"")</f>
      </c>
      <c r="C690" s="39" t="str">
        <f>IF(LEN(A690)&gt;0,'Open Positions'!Q688,"")</f>
      </c>
      <c r="D690" s="29" t="str">
        <f>IF(LEN(A690)&gt;0,B690*C690,"")</f>
      </c>
    </row>
    <row r="691" ht="15" customHeight="1" s="4" customFormat="1">
      <c r="A691" s="4" t="str">
        <f>IF(LEN('Open Positions'!B689)&gt;0,'Open Positions'!B689,"")</f>
      </c>
      <c r="B691" s="4" t="str">
        <f>IF(LEN('CALC'!A691)&gt;0,'Open Positions'!F689,"")</f>
      </c>
      <c r="C691" s="39" t="str">
        <f>IF(LEN(A691)&gt;0,'Open Positions'!Q689,"")</f>
      </c>
      <c r="D691" s="29" t="str">
        <f>IF(LEN(A691)&gt;0,B691*C691,"")</f>
      </c>
    </row>
    <row r="692" ht="15" customHeight="1" s="4" customFormat="1">
      <c r="A692" s="4" t="str">
        <f>IF(LEN('Open Positions'!B690)&gt;0,'Open Positions'!B690,"")</f>
      </c>
      <c r="B692" s="4" t="str">
        <f>IF(LEN('CALC'!A692)&gt;0,'Open Positions'!F690,"")</f>
      </c>
      <c r="C692" s="39" t="str">
        <f>IF(LEN(A692)&gt;0,'Open Positions'!Q690,"")</f>
      </c>
      <c r="D692" s="29" t="str">
        <f>IF(LEN(A692)&gt;0,B692*C692,"")</f>
      </c>
    </row>
    <row r="693" ht="15" customHeight="1" s="4" customFormat="1">
      <c r="A693" s="4" t="str">
        <f>IF(LEN('Open Positions'!B691)&gt;0,'Open Positions'!B691,"")</f>
      </c>
      <c r="B693" s="4" t="str">
        <f>IF(LEN('CALC'!A693)&gt;0,'Open Positions'!F691,"")</f>
      </c>
      <c r="C693" s="39" t="str">
        <f>IF(LEN(A693)&gt;0,'Open Positions'!Q691,"")</f>
      </c>
      <c r="D693" s="29" t="str">
        <f>IF(LEN(A693)&gt;0,B693*C693,"")</f>
      </c>
    </row>
    <row r="694" ht="15" customHeight="1" s="4" customFormat="1">
      <c r="A694" s="4" t="str">
        <f>IF(LEN('Open Positions'!B692)&gt;0,'Open Positions'!B692,"")</f>
      </c>
      <c r="B694" s="4" t="str">
        <f>IF(LEN('CALC'!A694)&gt;0,'Open Positions'!F692,"")</f>
      </c>
      <c r="C694" s="39" t="str">
        <f>IF(LEN(A694)&gt;0,'Open Positions'!Q692,"")</f>
      </c>
      <c r="D694" s="29" t="str">
        <f>IF(LEN(A694)&gt;0,B694*C694,"")</f>
      </c>
    </row>
    <row r="695" ht="15" customHeight="1" s="4" customFormat="1">
      <c r="A695" s="4" t="str">
        <f>IF(LEN('Open Positions'!B693)&gt;0,'Open Positions'!B693,"")</f>
      </c>
      <c r="B695" s="4" t="str">
        <f>IF(LEN('CALC'!A695)&gt;0,'Open Positions'!F693,"")</f>
      </c>
      <c r="C695" s="39" t="str">
        <f>IF(LEN(A695)&gt;0,'Open Positions'!Q693,"")</f>
      </c>
      <c r="D695" s="29" t="str">
        <f>IF(LEN(A695)&gt;0,B695*C695,"")</f>
      </c>
    </row>
    <row r="696" ht="15" customHeight="1" s="4" customFormat="1">
      <c r="A696" s="4" t="str">
        <f>IF(LEN('Open Positions'!B694)&gt;0,'Open Positions'!B694,"")</f>
      </c>
      <c r="B696" s="4" t="str">
        <f>IF(LEN('CALC'!A696)&gt;0,'Open Positions'!F694,"")</f>
      </c>
      <c r="C696" s="39" t="str">
        <f>IF(LEN(A696)&gt;0,'Open Positions'!Q694,"")</f>
      </c>
      <c r="D696" s="29" t="str">
        <f>IF(LEN(A696)&gt;0,B696*C696,"")</f>
      </c>
    </row>
    <row r="697" ht="15" customHeight="1" s="4" customFormat="1">
      <c r="A697" s="4" t="str">
        <f>IF(LEN('Open Positions'!B695)&gt;0,'Open Positions'!B695,"")</f>
      </c>
      <c r="B697" s="4" t="str">
        <f>IF(LEN('CALC'!A697)&gt;0,'Open Positions'!F695,"")</f>
      </c>
      <c r="C697" s="39" t="str">
        <f>IF(LEN(A697)&gt;0,'Open Positions'!Q695,"")</f>
      </c>
      <c r="D697" s="29" t="str">
        <f>IF(LEN(A697)&gt;0,B697*C697,"")</f>
      </c>
    </row>
    <row r="698" ht="15" customHeight="1" s="4" customFormat="1">
      <c r="A698" s="4" t="str">
        <f>IF(LEN('Open Positions'!B696)&gt;0,'Open Positions'!B696,"")</f>
      </c>
      <c r="B698" s="4" t="str">
        <f>IF(LEN('CALC'!A698)&gt;0,'Open Positions'!F696,"")</f>
      </c>
      <c r="C698" s="39" t="str">
        <f>IF(LEN(A698)&gt;0,'Open Positions'!Q696,"")</f>
      </c>
      <c r="D698" s="29" t="str">
        <f>IF(LEN(A698)&gt;0,B698*C698,"")</f>
      </c>
    </row>
    <row r="699" ht="15" customHeight="1" s="4" customFormat="1">
      <c r="A699" s="4" t="str">
        <f>IF(LEN('Open Positions'!B697)&gt;0,'Open Positions'!B697,"")</f>
      </c>
      <c r="B699" s="4" t="str">
        <f>IF(LEN('CALC'!A699)&gt;0,'Open Positions'!F697,"")</f>
      </c>
      <c r="C699" s="39" t="str">
        <f>IF(LEN(A699)&gt;0,'Open Positions'!Q697,"")</f>
      </c>
      <c r="D699" s="29" t="str">
        <f>IF(LEN(A699)&gt;0,B699*C699,"")</f>
      </c>
    </row>
    <row r="700" ht="15" customHeight="1" s="4" customFormat="1">
      <c r="A700" s="4" t="str">
        <f>IF(LEN('Open Positions'!B698)&gt;0,'Open Positions'!B698,"")</f>
      </c>
      <c r="B700" s="4" t="str">
        <f>IF(LEN('CALC'!A700)&gt;0,'Open Positions'!F698,"")</f>
      </c>
      <c r="C700" s="39" t="str">
        <f>IF(LEN(A700)&gt;0,'Open Positions'!Q698,"")</f>
      </c>
      <c r="D700" s="29" t="str">
        <f>IF(LEN(A700)&gt;0,B700*C700,"")</f>
      </c>
    </row>
    <row r="701" ht="15" customHeight="1" s="4" customFormat="1">
      <c r="A701" s="4" t="str">
        <f>IF(LEN('Open Positions'!B699)&gt;0,'Open Positions'!B699,"")</f>
      </c>
      <c r="B701" s="4" t="str">
        <f>IF(LEN('CALC'!A701)&gt;0,'Open Positions'!F699,"")</f>
      </c>
      <c r="C701" s="39" t="str">
        <f>IF(LEN(A701)&gt;0,'Open Positions'!Q699,"")</f>
      </c>
      <c r="D701" s="29" t="str">
        <f>IF(LEN(A701)&gt;0,B701*C701,"")</f>
      </c>
    </row>
    <row r="702" ht="15" customHeight="1" s="4" customFormat="1">
      <c r="A702" s="4" t="str">
        <f>IF(LEN('Open Positions'!B700)&gt;0,'Open Positions'!B700,"")</f>
      </c>
      <c r="B702" s="4" t="str">
        <f>IF(LEN('CALC'!A702)&gt;0,'Open Positions'!F700,"")</f>
      </c>
      <c r="C702" s="39" t="str">
        <f>IF(LEN(A702)&gt;0,'Open Positions'!Q700,"")</f>
      </c>
      <c r="D702" s="29" t="str">
        <f>IF(LEN(A702)&gt;0,B702*C702,"")</f>
      </c>
    </row>
    <row r="703" ht="15" customHeight="1" s="4" customFormat="1">
      <c r="A703" s="4" t="str">
        <f>IF(LEN('Open Positions'!B701)&gt;0,'Open Positions'!B701,"")</f>
      </c>
      <c r="B703" s="4" t="str">
        <f>IF(LEN('CALC'!A703)&gt;0,'Open Positions'!F701,"")</f>
      </c>
      <c r="C703" s="39" t="str">
        <f>IF(LEN(A703)&gt;0,'Open Positions'!Q701,"")</f>
      </c>
      <c r="D703" s="29" t="str">
        <f>IF(LEN(A703)&gt;0,B703*C703,"")</f>
      </c>
    </row>
    <row r="704" ht="15" customHeight="1" s="4" customFormat="1">
      <c r="A704" s="4" t="str">
        <f>IF(LEN('Open Positions'!B702)&gt;0,'Open Positions'!B702,"")</f>
      </c>
      <c r="B704" s="4" t="str">
        <f>IF(LEN('CALC'!A704)&gt;0,'Open Positions'!F702,"")</f>
      </c>
      <c r="C704" s="39" t="str">
        <f>IF(LEN(A704)&gt;0,'Open Positions'!Q702,"")</f>
      </c>
      <c r="D704" s="29" t="str">
        <f>IF(LEN(A704)&gt;0,B704*C704,"")</f>
      </c>
    </row>
    <row r="705" ht="15" customHeight="1" s="4" customFormat="1">
      <c r="A705" s="4" t="str">
        <f>IF(LEN('Open Positions'!B703)&gt;0,'Open Positions'!B703,"")</f>
      </c>
      <c r="B705" s="4" t="str">
        <f>IF(LEN('CALC'!A705)&gt;0,'Open Positions'!F703,"")</f>
      </c>
      <c r="C705" s="39" t="str">
        <f>IF(LEN(A705)&gt;0,'Open Positions'!Q703,"")</f>
      </c>
      <c r="D705" s="29" t="str">
        <f>IF(LEN(A705)&gt;0,B705*C705,"")</f>
      </c>
    </row>
    <row r="706" ht="15" customHeight="1" s="4" customFormat="1">
      <c r="A706" s="4" t="str">
        <f>IF(LEN('Open Positions'!B704)&gt;0,'Open Positions'!B704,"")</f>
      </c>
      <c r="B706" s="4" t="str">
        <f>IF(LEN('CALC'!A706)&gt;0,'Open Positions'!F704,"")</f>
      </c>
      <c r="C706" s="39" t="str">
        <f>IF(LEN(A706)&gt;0,'Open Positions'!Q704,"")</f>
      </c>
      <c r="D706" s="29" t="str">
        <f>IF(LEN(A706)&gt;0,B706*C706,"")</f>
      </c>
    </row>
    <row r="707" ht="15" customHeight="1" s="4" customFormat="1">
      <c r="A707" s="4" t="str">
        <f>IF(LEN('Open Positions'!B705)&gt;0,'Open Positions'!B705,"")</f>
      </c>
      <c r="B707" s="4" t="str">
        <f>IF(LEN('CALC'!A707)&gt;0,'Open Positions'!F705,"")</f>
      </c>
      <c r="C707" s="39" t="str">
        <f>IF(LEN(A707)&gt;0,'Open Positions'!Q705,"")</f>
      </c>
      <c r="D707" s="29" t="str">
        <f>IF(LEN(A707)&gt;0,B707*C707,"")</f>
      </c>
    </row>
    <row r="708" ht="15" customHeight="1" s="4" customFormat="1">
      <c r="A708" s="4" t="str">
        <f>IF(LEN('Open Positions'!B706)&gt;0,'Open Positions'!B706,"")</f>
      </c>
      <c r="B708" s="4" t="str">
        <f>IF(LEN('CALC'!A708)&gt;0,'Open Positions'!F706,"")</f>
      </c>
      <c r="C708" s="39" t="str">
        <f>IF(LEN(A708)&gt;0,'Open Positions'!Q706,"")</f>
      </c>
      <c r="D708" s="29" t="str">
        <f>IF(LEN(A708)&gt;0,B708*C708,"")</f>
      </c>
    </row>
    <row r="709" ht="15" customHeight="1" s="4" customFormat="1">
      <c r="A709" s="4" t="str">
        <f>IF(LEN('Open Positions'!B707)&gt;0,'Open Positions'!B707,"")</f>
      </c>
      <c r="B709" s="4" t="str">
        <f>IF(LEN('CALC'!A709)&gt;0,'Open Positions'!F707,"")</f>
      </c>
      <c r="C709" s="39" t="str">
        <f>IF(LEN(A709)&gt;0,'Open Positions'!Q707,"")</f>
      </c>
      <c r="D709" s="29" t="str">
        <f>IF(LEN(A709)&gt;0,B709*C709,"")</f>
      </c>
    </row>
    <row r="710" ht="15" customHeight="1" s="4" customFormat="1">
      <c r="A710" s="4" t="str">
        <f>IF(LEN('Open Positions'!B708)&gt;0,'Open Positions'!B708,"")</f>
      </c>
      <c r="B710" s="4" t="str">
        <f>IF(LEN('CALC'!A710)&gt;0,'Open Positions'!F708,"")</f>
      </c>
      <c r="C710" s="39" t="str">
        <f>IF(LEN(A710)&gt;0,'Open Positions'!Q708,"")</f>
      </c>
      <c r="D710" s="29" t="str">
        <f>IF(LEN(A710)&gt;0,B710*C710,"")</f>
      </c>
    </row>
    <row r="711" ht="15" customHeight="1" s="4" customFormat="1">
      <c r="A711" s="4" t="str">
        <f>IF(LEN('Open Positions'!B709)&gt;0,'Open Positions'!B709,"")</f>
      </c>
      <c r="B711" s="4" t="str">
        <f>IF(LEN('CALC'!A711)&gt;0,'Open Positions'!F709,"")</f>
      </c>
      <c r="C711" s="39" t="str">
        <f>IF(LEN(A711)&gt;0,'Open Positions'!Q709,"")</f>
      </c>
      <c r="D711" s="29" t="str">
        <f>IF(LEN(A711)&gt;0,B711*C711,"")</f>
      </c>
    </row>
    <row r="712" ht="15" customHeight="1" s="4" customFormat="1">
      <c r="A712" s="4" t="str">
        <f>IF(LEN('Open Positions'!B710)&gt;0,'Open Positions'!B710,"")</f>
      </c>
      <c r="B712" s="4" t="str">
        <f>IF(LEN('CALC'!A712)&gt;0,'Open Positions'!F710,"")</f>
      </c>
      <c r="C712" s="39" t="str">
        <f>IF(LEN(A712)&gt;0,'Open Positions'!Q710,"")</f>
      </c>
      <c r="D712" s="29" t="str">
        <f>IF(LEN(A712)&gt;0,B712*C712,"")</f>
      </c>
    </row>
    <row r="713" ht="15" customHeight="1" s="4" customFormat="1">
      <c r="A713" s="4" t="str">
        <f>IF(LEN('Open Positions'!B711)&gt;0,'Open Positions'!B711,"")</f>
      </c>
      <c r="B713" s="4" t="str">
        <f>IF(LEN('CALC'!A713)&gt;0,'Open Positions'!F711,"")</f>
      </c>
      <c r="C713" s="39" t="str">
        <f>IF(LEN(A713)&gt;0,'Open Positions'!Q711,"")</f>
      </c>
      <c r="D713" s="29" t="str">
        <f>IF(LEN(A713)&gt;0,B713*C713,"")</f>
      </c>
    </row>
    <row r="714" ht="15" customHeight="1" s="4" customFormat="1">
      <c r="A714" s="4" t="str">
        <f>IF(LEN('Open Positions'!B712)&gt;0,'Open Positions'!B712,"")</f>
      </c>
      <c r="B714" s="4" t="str">
        <f>IF(LEN('CALC'!A714)&gt;0,'Open Positions'!F712,"")</f>
      </c>
      <c r="C714" s="39" t="str">
        <f>IF(LEN(A714)&gt;0,'Open Positions'!Q712,"")</f>
      </c>
      <c r="D714" s="29" t="str">
        <f>IF(LEN(A714)&gt;0,B714*C714,"")</f>
      </c>
    </row>
    <row r="715" ht="15" customHeight="1" s="4" customFormat="1">
      <c r="A715" s="4" t="str">
        <f>IF(LEN('Open Positions'!B713)&gt;0,'Open Positions'!B713,"")</f>
      </c>
      <c r="B715" s="4" t="str">
        <f>IF(LEN('CALC'!A715)&gt;0,'Open Positions'!F713,"")</f>
      </c>
      <c r="C715" s="39" t="str">
        <f>IF(LEN(A715)&gt;0,'Open Positions'!Q713,"")</f>
      </c>
      <c r="D715" s="29" t="str">
        <f>IF(LEN(A715)&gt;0,B715*C715,"")</f>
      </c>
    </row>
    <row r="716" ht="15" customHeight="1" s="4" customFormat="1">
      <c r="A716" s="4" t="str">
        <f>IF(LEN('Open Positions'!B714)&gt;0,'Open Positions'!B714,"")</f>
      </c>
      <c r="B716" s="4" t="str">
        <f>IF(LEN('CALC'!A716)&gt;0,'Open Positions'!F714,"")</f>
      </c>
      <c r="C716" s="39" t="str">
        <f>IF(LEN(A716)&gt;0,'Open Positions'!Q714,"")</f>
      </c>
      <c r="D716" s="29" t="str">
        <f>IF(LEN(A716)&gt;0,B716*C716,"")</f>
      </c>
    </row>
    <row r="717" ht="15" customHeight="1" s="4" customFormat="1">
      <c r="A717" s="4" t="str">
        <f>IF(LEN('Open Positions'!B715)&gt;0,'Open Positions'!B715,"")</f>
      </c>
      <c r="B717" s="4" t="str">
        <f>IF(LEN('CALC'!A717)&gt;0,'Open Positions'!F715,"")</f>
      </c>
      <c r="C717" s="39" t="str">
        <f>IF(LEN(A717)&gt;0,'Open Positions'!Q715,"")</f>
      </c>
      <c r="D717" s="29" t="str">
        <f>IF(LEN(A717)&gt;0,B717*C717,"")</f>
      </c>
    </row>
    <row r="718" ht="15" customHeight="1" s="4" customFormat="1">
      <c r="A718" s="4" t="str">
        <f>IF(LEN('Open Positions'!B716)&gt;0,'Open Positions'!B716,"")</f>
      </c>
      <c r="B718" s="4" t="str">
        <f>IF(LEN('CALC'!A718)&gt;0,'Open Positions'!F716,"")</f>
      </c>
      <c r="C718" s="39" t="str">
        <f>IF(LEN(A718)&gt;0,'Open Positions'!Q716,"")</f>
      </c>
      <c r="D718" s="29" t="str">
        <f>IF(LEN(A718)&gt;0,B718*C718,"")</f>
      </c>
    </row>
    <row r="719" ht="15" customHeight="1" s="4" customFormat="1">
      <c r="A719" s="4" t="str">
        <f>IF(LEN('Open Positions'!B717)&gt;0,'Open Positions'!B717,"")</f>
      </c>
      <c r="B719" s="4" t="str">
        <f>IF(LEN('CALC'!A719)&gt;0,'Open Positions'!F717,"")</f>
      </c>
      <c r="C719" s="39" t="str">
        <f>IF(LEN(A719)&gt;0,'Open Positions'!Q717,"")</f>
      </c>
      <c r="D719" s="29" t="str">
        <f>IF(LEN(A719)&gt;0,B719*C719,"")</f>
      </c>
    </row>
    <row r="720" ht="15" customHeight="1" s="4" customFormat="1">
      <c r="A720" s="4" t="str">
        <f>IF(LEN('Open Positions'!B718)&gt;0,'Open Positions'!B718,"")</f>
      </c>
      <c r="B720" s="4" t="str">
        <f>IF(LEN('CALC'!A720)&gt;0,'Open Positions'!F718,"")</f>
      </c>
      <c r="C720" s="39" t="str">
        <f>IF(LEN(A720)&gt;0,'Open Positions'!Q718,"")</f>
      </c>
      <c r="D720" s="29" t="str">
        <f>IF(LEN(A720)&gt;0,B720*C720,"")</f>
      </c>
    </row>
    <row r="721" ht="15" customHeight="1" s="4" customFormat="1">
      <c r="A721" s="4" t="str">
        <f>IF(LEN('Open Positions'!B719)&gt;0,'Open Positions'!B719,"")</f>
      </c>
      <c r="B721" s="4" t="str">
        <f>IF(LEN('CALC'!A721)&gt;0,'Open Positions'!F719,"")</f>
      </c>
      <c r="C721" s="39" t="str">
        <f>IF(LEN(A721)&gt;0,'Open Positions'!Q719,"")</f>
      </c>
      <c r="D721" s="29" t="str">
        <f>IF(LEN(A721)&gt;0,B721*C721,"")</f>
      </c>
    </row>
    <row r="722" ht="15" customHeight="1" s="4" customFormat="1">
      <c r="A722" s="4" t="str">
        <f>IF(LEN('Open Positions'!B720)&gt;0,'Open Positions'!B720,"")</f>
      </c>
      <c r="B722" s="4" t="str">
        <f>IF(LEN('CALC'!A722)&gt;0,'Open Positions'!F720,"")</f>
      </c>
      <c r="C722" s="39" t="str">
        <f>IF(LEN(A722)&gt;0,'Open Positions'!Q720,"")</f>
      </c>
      <c r="D722" s="29" t="str">
        <f>IF(LEN(A722)&gt;0,B722*C722,"")</f>
      </c>
    </row>
    <row r="723" ht="15" customHeight="1" s="4" customFormat="1">
      <c r="A723" s="4" t="str">
        <f>IF(LEN('Open Positions'!B721)&gt;0,'Open Positions'!B721,"")</f>
      </c>
      <c r="B723" s="4" t="str">
        <f>IF(LEN('CALC'!A723)&gt;0,'Open Positions'!F721,"")</f>
      </c>
      <c r="C723" s="39" t="str">
        <f>IF(LEN(A723)&gt;0,'Open Positions'!Q721,"")</f>
      </c>
      <c r="D723" s="29" t="str">
        <f>IF(LEN(A723)&gt;0,B723*C723,"")</f>
      </c>
    </row>
    <row r="724" ht="15" customHeight="1" s="4" customFormat="1">
      <c r="A724" s="4" t="str">
        <f>IF(LEN('Open Positions'!B722)&gt;0,'Open Positions'!B722,"")</f>
      </c>
      <c r="B724" s="4" t="str">
        <f>IF(LEN('CALC'!A724)&gt;0,'Open Positions'!F722,"")</f>
      </c>
      <c r="C724" s="39" t="str">
        <f>IF(LEN(A724)&gt;0,'Open Positions'!Q722,"")</f>
      </c>
      <c r="D724" s="29" t="str">
        <f>IF(LEN(A724)&gt;0,B724*C724,"")</f>
      </c>
    </row>
    <row r="725" ht="15" customHeight="1" s="4" customFormat="1">
      <c r="A725" s="4" t="str">
        <f>IF(LEN('Open Positions'!B723)&gt;0,'Open Positions'!B723,"")</f>
      </c>
      <c r="B725" s="4" t="str">
        <f>IF(LEN('CALC'!A725)&gt;0,'Open Positions'!F723,"")</f>
      </c>
      <c r="C725" s="39" t="str">
        <f>IF(LEN(A725)&gt;0,'Open Positions'!Q723,"")</f>
      </c>
      <c r="D725" s="29" t="str">
        <f>IF(LEN(A725)&gt;0,B725*C725,"")</f>
      </c>
    </row>
    <row r="726" ht="15" customHeight="1" s="4" customFormat="1">
      <c r="A726" s="4" t="str">
        <f>IF(LEN('Open Positions'!B724)&gt;0,'Open Positions'!B724,"")</f>
      </c>
      <c r="B726" s="4" t="str">
        <f>IF(LEN('CALC'!A726)&gt;0,'Open Positions'!F724,"")</f>
      </c>
      <c r="C726" s="39" t="str">
        <f>IF(LEN(A726)&gt;0,'Open Positions'!Q724,"")</f>
      </c>
      <c r="D726" s="29" t="str">
        <f>IF(LEN(A726)&gt;0,B726*C726,"")</f>
      </c>
    </row>
    <row r="727" ht="15" customHeight="1" s="4" customFormat="1">
      <c r="A727" s="4" t="str">
        <f>IF(LEN('Open Positions'!B725)&gt;0,'Open Positions'!B725,"")</f>
      </c>
      <c r="B727" s="4" t="str">
        <f>IF(LEN('CALC'!A727)&gt;0,'Open Positions'!F725,"")</f>
      </c>
      <c r="C727" s="39" t="str">
        <f>IF(LEN(A727)&gt;0,'Open Positions'!Q725,"")</f>
      </c>
      <c r="D727" s="29" t="str">
        <f>IF(LEN(A727)&gt;0,B727*C727,"")</f>
      </c>
    </row>
    <row r="728" ht="15" customHeight="1" s="4" customFormat="1">
      <c r="A728" s="4" t="str">
        <f>IF(LEN('Open Positions'!B726)&gt;0,'Open Positions'!B726,"")</f>
      </c>
      <c r="B728" s="4" t="str">
        <f>IF(LEN('CALC'!A728)&gt;0,'Open Positions'!F726,"")</f>
      </c>
      <c r="C728" s="39" t="str">
        <f>IF(LEN(A728)&gt;0,'Open Positions'!Q726,"")</f>
      </c>
      <c r="D728" s="29" t="str">
        <f>IF(LEN(A728)&gt;0,B728*C728,"")</f>
      </c>
    </row>
    <row r="729" ht="15" customHeight="1" s="4" customFormat="1">
      <c r="A729" s="4" t="str">
        <f>IF(LEN('Open Positions'!B727)&gt;0,'Open Positions'!B727,"")</f>
      </c>
      <c r="B729" s="4" t="str">
        <f>IF(LEN('CALC'!A729)&gt;0,'Open Positions'!F727,"")</f>
      </c>
      <c r="C729" s="39" t="str">
        <f>IF(LEN(A729)&gt;0,'Open Positions'!Q727,"")</f>
      </c>
      <c r="D729" s="29" t="str">
        <f>IF(LEN(A729)&gt;0,B729*C729,"")</f>
      </c>
    </row>
    <row r="730" ht="15" customHeight="1" s="4" customFormat="1">
      <c r="A730" s="4" t="str">
        <f>IF(LEN('Open Positions'!B728)&gt;0,'Open Positions'!B728,"")</f>
      </c>
      <c r="B730" s="4" t="str">
        <f>IF(LEN('CALC'!A730)&gt;0,'Open Positions'!F728,"")</f>
      </c>
      <c r="C730" s="39" t="str">
        <f>IF(LEN(A730)&gt;0,'Open Positions'!Q728,"")</f>
      </c>
      <c r="D730" s="29" t="str">
        <f>IF(LEN(A730)&gt;0,B730*C730,"")</f>
      </c>
    </row>
    <row r="731" ht="15" customHeight="1" s="4" customFormat="1">
      <c r="A731" s="4" t="str">
        <f>IF(LEN('Open Positions'!B729)&gt;0,'Open Positions'!B729,"")</f>
      </c>
      <c r="B731" s="4" t="str">
        <f>IF(LEN('CALC'!A731)&gt;0,'Open Positions'!F729,"")</f>
      </c>
      <c r="C731" s="39" t="str">
        <f>IF(LEN(A731)&gt;0,'Open Positions'!Q729,"")</f>
      </c>
      <c r="D731" s="29" t="str">
        <f>IF(LEN(A731)&gt;0,B731*C731,"")</f>
      </c>
    </row>
    <row r="732" ht="15" customHeight="1" s="4" customFormat="1">
      <c r="A732" s="4" t="str">
        <f>IF(LEN('Open Positions'!B730)&gt;0,'Open Positions'!B730,"")</f>
      </c>
      <c r="B732" s="4" t="str">
        <f>IF(LEN('CALC'!A732)&gt;0,'Open Positions'!F730,"")</f>
      </c>
      <c r="C732" s="39" t="str">
        <f>IF(LEN(A732)&gt;0,'Open Positions'!Q730,"")</f>
      </c>
      <c r="D732" s="29" t="str">
        <f>IF(LEN(A732)&gt;0,B732*C732,"")</f>
      </c>
    </row>
    <row r="733" ht="15" customHeight="1" s="4" customFormat="1">
      <c r="A733" s="4" t="str">
        <f>IF(LEN('Open Positions'!B731)&gt;0,'Open Positions'!B731,"")</f>
      </c>
      <c r="B733" s="4" t="str">
        <f>IF(LEN('CALC'!A733)&gt;0,'Open Positions'!F731,"")</f>
      </c>
      <c r="C733" s="39" t="str">
        <f>IF(LEN(A733)&gt;0,'Open Positions'!Q731,"")</f>
      </c>
      <c r="D733" s="29" t="str">
        <f>IF(LEN(A733)&gt;0,B733*C733,"")</f>
      </c>
    </row>
    <row r="734" ht="15" customHeight="1" s="4" customFormat="1">
      <c r="A734" s="4" t="str">
        <f>IF(LEN('Open Positions'!B732)&gt;0,'Open Positions'!B732,"")</f>
      </c>
      <c r="B734" s="4" t="str">
        <f>IF(LEN('CALC'!A734)&gt;0,'Open Positions'!F732,"")</f>
      </c>
      <c r="C734" s="39" t="str">
        <f>IF(LEN(A734)&gt;0,'Open Positions'!Q732,"")</f>
      </c>
      <c r="D734" s="29" t="str">
        <f>IF(LEN(A734)&gt;0,B734*C734,"")</f>
      </c>
    </row>
    <row r="735" ht="15" customHeight="1" s="4" customFormat="1">
      <c r="A735" s="4" t="str">
        <f>IF(LEN('Open Positions'!B733)&gt;0,'Open Positions'!B733,"")</f>
      </c>
      <c r="B735" s="4" t="str">
        <f>IF(LEN('CALC'!A735)&gt;0,'Open Positions'!F733,"")</f>
      </c>
      <c r="C735" s="39" t="str">
        <f>IF(LEN(A735)&gt;0,'Open Positions'!Q733,"")</f>
      </c>
      <c r="D735" s="29" t="str">
        <f>IF(LEN(A735)&gt;0,B735*C735,"")</f>
      </c>
    </row>
    <row r="736" ht="15" customHeight="1" s="4" customFormat="1">
      <c r="A736" s="4" t="str">
        <f>IF(LEN('Open Positions'!B734)&gt;0,'Open Positions'!B734,"")</f>
      </c>
      <c r="B736" s="4" t="str">
        <f>IF(LEN('CALC'!A736)&gt;0,'Open Positions'!F734,"")</f>
      </c>
      <c r="C736" s="39" t="str">
        <f>IF(LEN(A736)&gt;0,'Open Positions'!Q734,"")</f>
      </c>
      <c r="D736" s="29" t="str">
        <f>IF(LEN(A736)&gt;0,B736*C736,"")</f>
      </c>
    </row>
    <row r="737" ht="15" customHeight="1" s="4" customFormat="1">
      <c r="A737" s="4" t="str">
        <f>IF(LEN('Open Positions'!B735)&gt;0,'Open Positions'!B735,"")</f>
      </c>
      <c r="B737" s="4" t="str">
        <f>IF(LEN('CALC'!A737)&gt;0,'Open Positions'!F735,"")</f>
      </c>
      <c r="C737" s="39" t="str">
        <f>IF(LEN(A737)&gt;0,'Open Positions'!Q735,"")</f>
      </c>
      <c r="D737" s="29" t="str">
        <f>IF(LEN(A737)&gt;0,B737*C737,"")</f>
      </c>
    </row>
    <row r="738" ht="15" customHeight="1" s="4" customFormat="1">
      <c r="A738" s="4" t="str">
        <f>IF(LEN('Open Positions'!B736)&gt;0,'Open Positions'!B736,"")</f>
      </c>
      <c r="B738" s="4" t="str">
        <f>IF(LEN('CALC'!A738)&gt;0,'Open Positions'!F736,"")</f>
      </c>
      <c r="C738" s="39" t="str">
        <f>IF(LEN(A738)&gt;0,'Open Positions'!Q736,"")</f>
      </c>
      <c r="D738" s="29" t="str">
        <f>IF(LEN(A738)&gt;0,B738*C738,"")</f>
      </c>
    </row>
    <row r="739" ht="15" customHeight="1" s="4" customFormat="1">
      <c r="A739" s="4" t="str">
        <f>IF(LEN('Open Positions'!B737)&gt;0,'Open Positions'!B737,"")</f>
      </c>
      <c r="B739" s="4" t="str">
        <f>IF(LEN('CALC'!A739)&gt;0,'Open Positions'!F737,"")</f>
      </c>
      <c r="C739" s="39" t="str">
        <f>IF(LEN(A739)&gt;0,'Open Positions'!Q737,"")</f>
      </c>
      <c r="D739" s="29" t="str">
        <f>IF(LEN(A739)&gt;0,B739*C739,"")</f>
      </c>
    </row>
    <row r="740" ht="15" customHeight="1" s="4" customFormat="1">
      <c r="A740" s="4" t="str">
        <f>IF(LEN('Open Positions'!B738)&gt;0,'Open Positions'!B738,"")</f>
      </c>
      <c r="B740" s="4" t="str">
        <f>IF(LEN('CALC'!A740)&gt;0,'Open Positions'!F738,"")</f>
      </c>
      <c r="C740" s="39" t="str">
        <f>IF(LEN(A740)&gt;0,'Open Positions'!Q738,"")</f>
      </c>
      <c r="D740" s="29" t="str">
        <f>IF(LEN(A740)&gt;0,B740*C740,"")</f>
      </c>
    </row>
    <row r="741" ht="15" customHeight="1" s="4" customFormat="1">
      <c r="A741" s="4" t="str">
        <f>IF(LEN('Open Positions'!B739)&gt;0,'Open Positions'!B739,"")</f>
      </c>
      <c r="B741" s="4" t="str">
        <f>IF(LEN('CALC'!A741)&gt;0,'Open Positions'!F739,"")</f>
      </c>
      <c r="C741" s="39" t="str">
        <f>IF(LEN(A741)&gt;0,'Open Positions'!Q739,"")</f>
      </c>
      <c r="D741" s="29" t="str">
        <f>IF(LEN(A741)&gt;0,B741*C741,"")</f>
      </c>
    </row>
    <row r="742" ht="15" customHeight="1" s="4" customFormat="1">
      <c r="A742" s="4" t="str">
        <f>IF(LEN('Open Positions'!B740)&gt;0,'Open Positions'!B740,"")</f>
      </c>
      <c r="B742" s="4" t="str">
        <f>IF(LEN('CALC'!A742)&gt;0,'Open Positions'!F740,"")</f>
      </c>
      <c r="C742" s="39" t="str">
        <f>IF(LEN(A742)&gt;0,'Open Positions'!Q740,"")</f>
      </c>
      <c r="D742" s="29" t="str">
        <f>IF(LEN(A742)&gt;0,B742*C742,"")</f>
      </c>
    </row>
    <row r="743" ht="15" customHeight="1" s="4" customFormat="1">
      <c r="A743" s="4" t="str">
        <f>IF(LEN('Open Positions'!B741)&gt;0,'Open Positions'!B741,"")</f>
      </c>
      <c r="B743" s="4" t="str">
        <f>IF(LEN('CALC'!A743)&gt;0,'Open Positions'!F741,"")</f>
      </c>
      <c r="C743" s="39" t="str">
        <f>IF(LEN(A743)&gt;0,'Open Positions'!Q741,"")</f>
      </c>
      <c r="D743" s="29" t="str">
        <f>IF(LEN(A743)&gt;0,B743*C743,"")</f>
      </c>
    </row>
    <row r="744" ht="15" customHeight="1" s="4" customFormat="1">
      <c r="A744" s="4" t="str">
        <f>IF(LEN('Open Positions'!B742)&gt;0,'Open Positions'!B742,"")</f>
      </c>
      <c r="B744" s="4" t="str">
        <f>IF(LEN('CALC'!A744)&gt;0,'Open Positions'!F742,"")</f>
      </c>
      <c r="C744" s="39" t="str">
        <f>IF(LEN(A744)&gt;0,'Open Positions'!Q742,"")</f>
      </c>
      <c r="D744" s="29" t="str">
        <f>IF(LEN(A744)&gt;0,B744*C744,"")</f>
      </c>
    </row>
    <row r="745" ht="15" customHeight="1" s="4" customFormat="1">
      <c r="A745" s="4" t="str">
        <f>IF(LEN('Open Positions'!B743)&gt;0,'Open Positions'!B743,"")</f>
      </c>
      <c r="B745" s="4" t="str">
        <f>IF(LEN('CALC'!A745)&gt;0,'Open Positions'!F743,"")</f>
      </c>
      <c r="C745" s="39" t="str">
        <f>IF(LEN(A745)&gt;0,'Open Positions'!Q743,"")</f>
      </c>
      <c r="D745" s="29" t="str">
        <f>IF(LEN(A745)&gt;0,B745*C745,"")</f>
      </c>
    </row>
    <row r="746" ht="15" customHeight="1" s="4" customFormat="1">
      <c r="A746" s="4" t="str">
        <f>IF(LEN('Open Positions'!B744)&gt;0,'Open Positions'!B744,"")</f>
      </c>
      <c r="B746" s="4" t="str">
        <f>IF(LEN('CALC'!A746)&gt;0,'Open Positions'!F744,"")</f>
      </c>
      <c r="C746" s="39" t="str">
        <f>IF(LEN(A746)&gt;0,'Open Positions'!Q744,"")</f>
      </c>
      <c r="D746" s="29" t="str">
        <f>IF(LEN(A746)&gt;0,B746*C746,"")</f>
      </c>
    </row>
    <row r="747" ht="15" customHeight="1" s="4" customFormat="1">
      <c r="A747" s="4" t="str">
        <f>IF(LEN('Open Positions'!B745)&gt;0,'Open Positions'!B745,"")</f>
      </c>
      <c r="B747" s="4" t="str">
        <f>IF(LEN('CALC'!A747)&gt;0,'Open Positions'!F745,"")</f>
      </c>
      <c r="C747" s="39" t="str">
        <f>IF(LEN(A747)&gt;0,'Open Positions'!Q745,"")</f>
      </c>
      <c r="D747" s="29" t="str">
        <f>IF(LEN(A747)&gt;0,B747*C747,"")</f>
      </c>
    </row>
    <row r="748" ht="15" customHeight="1" s="4" customFormat="1">
      <c r="A748" s="4" t="str">
        <f>IF(LEN('Open Positions'!B746)&gt;0,'Open Positions'!B746,"")</f>
      </c>
      <c r="B748" s="4" t="str">
        <f>IF(LEN('CALC'!A748)&gt;0,'Open Positions'!F746,"")</f>
      </c>
      <c r="C748" s="39" t="str">
        <f>IF(LEN(A748)&gt;0,'Open Positions'!Q746,"")</f>
      </c>
      <c r="D748" s="29" t="str">
        <f>IF(LEN(A748)&gt;0,B748*C748,"")</f>
      </c>
    </row>
    <row r="749" ht="15" customHeight="1" s="4" customFormat="1">
      <c r="A749" s="4" t="str">
        <f>IF(LEN('Open Positions'!B747)&gt;0,'Open Positions'!B747,"")</f>
      </c>
      <c r="B749" s="4" t="str">
        <f>IF(LEN('CALC'!A749)&gt;0,'Open Positions'!F747,"")</f>
      </c>
      <c r="C749" s="39" t="str">
        <f>IF(LEN(A749)&gt;0,'Open Positions'!Q747,"")</f>
      </c>
      <c r="D749" s="29" t="str">
        <f>IF(LEN(A749)&gt;0,B749*C749,"")</f>
      </c>
    </row>
    <row r="750" ht="15" customHeight="1" s="4" customFormat="1">
      <c r="A750" s="4" t="str">
        <f>IF(LEN('Open Positions'!B748)&gt;0,'Open Positions'!B748,"")</f>
      </c>
      <c r="B750" s="4" t="str">
        <f>IF(LEN('CALC'!A750)&gt;0,'Open Positions'!F748,"")</f>
      </c>
      <c r="C750" s="39" t="str">
        <f>IF(LEN(A750)&gt;0,'Open Positions'!Q748,"")</f>
      </c>
      <c r="D750" s="29" t="str">
        <f>IF(LEN(A750)&gt;0,B750*C750,"")</f>
      </c>
    </row>
    <row r="751" ht="15" customHeight="1" s="4" customFormat="1">
      <c r="A751" s="4" t="str">
        <f>IF(LEN('Open Positions'!B749)&gt;0,'Open Positions'!B749,"")</f>
      </c>
      <c r="B751" s="4" t="str">
        <f>IF(LEN('CALC'!A751)&gt;0,'Open Positions'!F749,"")</f>
      </c>
      <c r="C751" s="39" t="str">
        <f>IF(LEN(A751)&gt;0,'Open Positions'!Q749,"")</f>
      </c>
      <c r="D751" s="29" t="str">
        <f>IF(LEN(A751)&gt;0,B751*C751,"")</f>
      </c>
    </row>
    <row r="752" ht="15" customHeight="1" s="4" customFormat="1">
      <c r="A752" s="4" t="str">
        <f>IF(LEN('Open Positions'!B750)&gt;0,'Open Positions'!B750,"")</f>
      </c>
      <c r="B752" s="4" t="str">
        <f>IF(LEN('CALC'!A752)&gt;0,'Open Positions'!F750,"")</f>
      </c>
      <c r="C752" s="39" t="str">
        <f>IF(LEN(A752)&gt;0,'Open Positions'!Q750,"")</f>
      </c>
      <c r="D752" s="29" t="str">
        <f>IF(LEN(A752)&gt;0,B752*C752,"")</f>
      </c>
    </row>
    <row r="753" ht="15" customHeight="1" s="4" customFormat="1">
      <c r="A753" s="4" t="str">
        <f>IF(LEN('Open Positions'!B751)&gt;0,'Open Positions'!B751,"")</f>
      </c>
      <c r="B753" s="4" t="str">
        <f>IF(LEN('CALC'!A753)&gt;0,'Open Positions'!F751,"")</f>
      </c>
      <c r="C753" s="39" t="str">
        <f>IF(LEN(A753)&gt;0,'Open Positions'!Q751,"")</f>
      </c>
      <c r="D753" s="29" t="str">
        <f>IF(LEN(A753)&gt;0,B753*C753,"")</f>
      </c>
    </row>
    <row r="754" ht="15" customHeight="1" s="4" customFormat="1">
      <c r="A754" s="4" t="str">
        <f>IF(LEN('Open Positions'!B752)&gt;0,'Open Positions'!B752,"")</f>
      </c>
      <c r="B754" s="4" t="str">
        <f>IF(LEN('CALC'!A754)&gt;0,'Open Positions'!F752,"")</f>
      </c>
      <c r="C754" s="39" t="str">
        <f>IF(LEN(A754)&gt;0,'Open Positions'!Q752,"")</f>
      </c>
      <c r="D754" s="29" t="str">
        <f>IF(LEN(A754)&gt;0,B754*C754,"")</f>
      </c>
    </row>
    <row r="755" ht="15" customHeight="1" s="4" customFormat="1">
      <c r="A755" s="4" t="str">
        <f>IF(LEN('Open Positions'!B753)&gt;0,'Open Positions'!B753,"")</f>
      </c>
      <c r="B755" s="4" t="str">
        <f>IF(LEN('CALC'!A755)&gt;0,'Open Positions'!F753,"")</f>
      </c>
      <c r="C755" s="39" t="str">
        <f>IF(LEN(A755)&gt;0,'Open Positions'!Q753,"")</f>
      </c>
      <c r="D755" s="29" t="str">
        <f>IF(LEN(A755)&gt;0,B755*C755,"")</f>
      </c>
    </row>
    <row r="756" ht="15" customHeight="1" s="4" customFormat="1">
      <c r="A756" s="4" t="str">
        <f>IF(LEN('Open Positions'!B754)&gt;0,'Open Positions'!B754,"")</f>
      </c>
      <c r="B756" s="4" t="str">
        <f>IF(LEN('CALC'!A756)&gt;0,'Open Positions'!F754,"")</f>
      </c>
      <c r="C756" s="39" t="str">
        <f>IF(LEN(A756)&gt;0,'Open Positions'!Q754,"")</f>
      </c>
      <c r="D756" s="29" t="str">
        <f>IF(LEN(A756)&gt;0,B756*C756,"")</f>
      </c>
    </row>
    <row r="757" ht="15" customHeight="1" s="4" customFormat="1">
      <c r="A757" s="4" t="str">
        <f>IF(LEN('Open Positions'!B755)&gt;0,'Open Positions'!B755,"")</f>
      </c>
      <c r="B757" s="4" t="str">
        <f>IF(LEN('CALC'!A757)&gt;0,'Open Positions'!F755,"")</f>
      </c>
      <c r="C757" s="39" t="str">
        <f>IF(LEN(A757)&gt;0,'Open Positions'!Q755,"")</f>
      </c>
      <c r="D757" s="29" t="str">
        <f>IF(LEN(A757)&gt;0,B757*C757,"")</f>
      </c>
    </row>
    <row r="758" ht="15" customHeight="1" s="4" customFormat="1">
      <c r="A758" s="4" t="str">
        <f>IF(LEN('Open Positions'!B756)&gt;0,'Open Positions'!B756,"")</f>
      </c>
      <c r="B758" s="4" t="str">
        <f>IF(LEN('CALC'!A758)&gt;0,'Open Positions'!F756,"")</f>
      </c>
      <c r="C758" s="39" t="str">
        <f>IF(LEN(A758)&gt;0,'Open Positions'!Q756,"")</f>
      </c>
      <c r="D758" s="29" t="str">
        <f>IF(LEN(A758)&gt;0,B758*C758,"")</f>
      </c>
    </row>
    <row r="759" ht="15" customHeight="1" s="4" customFormat="1">
      <c r="A759" s="4" t="str">
        <f>IF(LEN('Open Positions'!B757)&gt;0,'Open Positions'!B757,"")</f>
      </c>
      <c r="B759" s="4" t="str">
        <f>IF(LEN('CALC'!A759)&gt;0,'Open Positions'!F757,"")</f>
      </c>
      <c r="C759" s="39" t="str">
        <f>IF(LEN(A759)&gt;0,'Open Positions'!Q757,"")</f>
      </c>
      <c r="D759" s="29" t="str">
        <f>IF(LEN(A759)&gt;0,B759*C759,"")</f>
      </c>
    </row>
    <row r="760" ht="15" customHeight="1" s="4" customFormat="1">
      <c r="A760" s="4" t="str">
        <f>IF(LEN('Open Positions'!B758)&gt;0,'Open Positions'!B758,"")</f>
      </c>
      <c r="B760" s="4" t="str">
        <f>IF(LEN('CALC'!A760)&gt;0,'Open Positions'!F758,"")</f>
      </c>
      <c r="C760" s="39" t="str">
        <f>IF(LEN(A760)&gt;0,'Open Positions'!Q758,"")</f>
      </c>
      <c r="D760" s="29" t="str">
        <f>IF(LEN(A760)&gt;0,B760*C760,"")</f>
      </c>
    </row>
    <row r="761" ht="15" customHeight="1" s="4" customFormat="1">
      <c r="A761" s="4" t="str">
        <f>IF(LEN('Open Positions'!B759)&gt;0,'Open Positions'!B759,"")</f>
      </c>
      <c r="B761" s="4" t="str">
        <f>IF(LEN('CALC'!A761)&gt;0,'Open Positions'!F759,"")</f>
      </c>
      <c r="C761" s="39" t="str">
        <f>IF(LEN(A761)&gt;0,'Open Positions'!Q759,"")</f>
      </c>
      <c r="D761" s="29" t="str">
        <f>IF(LEN(A761)&gt;0,B761*C761,"")</f>
      </c>
    </row>
    <row r="762" ht="15" customHeight="1" s="4" customFormat="1">
      <c r="A762" s="4" t="str">
        <f>IF(LEN('Open Positions'!B760)&gt;0,'Open Positions'!B760,"")</f>
      </c>
      <c r="B762" s="4" t="str">
        <f>IF(LEN('CALC'!A762)&gt;0,'Open Positions'!F760,"")</f>
      </c>
      <c r="C762" s="39" t="str">
        <f>IF(LEN(A762)&gt;0,'Open Positions'!Q760,"")</f>
      </c>
      <c r="D762" s="29" t="str">
        <f>IF(LEN(A762)&gt;0,B762*C762,"")</f>
      </c>
    </row>
    <row r="763" ht="15" customHeight="1" s="4" customFormat="1">
      <c r="A763" s="4" t="str">
        <f>IF(LEN('Open Positions'!B761)&gt;0,'Open Positions'!B761,"")</f>
      </c>
      <c r="B763" s="4" t="str">
        <f>IF(LEN('CALC'!A763)&gt;0,'Open Positions'!F761,"")</f>
      </c>
      <c r="C763" s="39" t="str">
        <f>IF(LEN(A763)&gt;0,'Open Positions'!Q761,"")</f>
      </c>
      <c r="D763" s="29" t="str">
        <f>IF(LEN(A763)&gt;0,B763*C763,"")</f>
      </c>
    </row>
    <row r="764" ht="15" customHeight="1" s="4" customFormat="1">
      <c r="A764" s="4" t="str">
        <f>IF(LEN('Open Positions'!B762)&gt;0,'Open Positions'!B762,"")</f>
      </c>
      <c r="B764" s="4" t="str">
        <f>IF(LEN('CALC'!A764)&gt;0,'Open Positions'!F762,"")</f>
      </c>
      <c r="C764" s="39" t="str">
        <f>IF(LEN(A764)&gt;0,'Open Positions'!Q762,"")</f>
      </c>
      <c r="D764" s="29" t="str">
        <f>IF(LEN(A764)&gt;0,B764*C764,"")</f>
      </c>
    </row>
    <row r="765" ht="15" customHeight="1" s="4" customFormat="1">
      <c r="A765" s="4" t="str">
        <f>IF(LEN('Open Positions'!B763)&gt;0,'Open Positions'!B763,"")</f>
      </c>
      <c r="B765" s="4" t="str">
        <f>IF(LEN('CALC'!A765)&gt;0,'Open Positions'!F763,"")</f>
      </c>
      <c r="C765" s="39" t="str">
        <f>IF(LEN(A765)&gt;0,'Open Positions'!Q763,"")</f>
      </c>
      <c r="D765" s="29" t="str">
        <f>IF(LEN(A765)&gt;0,B765*C765,"")</f>
      </c>
    </row>
    <row r="766" ht="15" customHeight="1" s="4" customFormat="1">
      <c r="A766" s="4" t="str">
        <f>IF(LEN('Open Positions'!B764)&gt;0,'Open Positions'!B764,"")</f>
      </c>
      <c r="B766" s="4" t="str">
        <f>IF(LEN('CALC'!A766)&gt;0,'Open Positions'!F764,"")</f>
      </c>
      <c r="C766" s="39" t="str">
        <f>IF(LEN(A766)&gt;0,'Open Positions'!Q764,"")</f>
      </c>
      <c r="D766" s="29" t="str">
        <f>IF(LEN(A766)&gt;0,B766*C766,"")</f>
      </c>
    </row>
    <row r="767" ht="15" customHeight="1" s="4" customFormat="1">
      <c r="A767" s="4" t="str">
        <f>IF(LEN('Open Positions'!B765)&gt;0,'Open Positions'!B765,"")</f>
      </c>
      <c r="B767" s="4" t="str">
        <f>IF(LEN('CALC'!A767)&gt;0,'Open Positions'!F765,"")</f>
      </c>
      <c r="C767" s="39" t="str">
        <f>IF(LEN(A767)&gt;0,'Open Positions'!Q765,"")</f>
      </c>
      <c r="D767" s="29" t="str">
        <f>IF(LEN(A767)&gt;0,B767*C767,"")</f>
      </c>
    </row>
    <row r="768" ht="15" customHeight="1" s="4" customFormat="1">
      <c r="A768" s="4" t="str">
        <f>IF(LEN('Open Positions'!B766)&gt;0,'Open Positions'!B766,"")</f>
      </c>
      <c r="B768" s="4" t="str">
        <f>IF(LEN('CALC'!A768)&gt;0,'Open Positions'!F766,"")</f>
      </c>
      <c r="C768" s="39" t="str">
        <f>IF(LEN(A768)&gt;0,'Open Positions'!Q766,"")</f>
      </c>
      <c r="D768" s="29" t="str">
        <f>IF(LEN(A768)&gt;0,B768*C768,"")</f>
      </c>
    </row>
    <row r="769" ht="15" customHeight="1" s="4" customFormat="1">
      <c r="A769" s="4" t="str">
        <f>IF(LEN('Open Positions'!B767)&gt;0,'Open Positions'!B767,"")</f>
      </c>
      <c r="B769" s="4" t="str">
        <f>IF(LEN('CALC'!A769)&gt;0,'Open Positions'!F767,"")</f>
      </c>
      <c r="C769" s="39" t="str">
        <f>IF(LEN(A769)&gt;0,'Open Positions'!Q767,"")</f>
      </c>
      <c r="D769" s="29" t="str">
        <f>IF(LEN(A769)&gt;0,B769*C769,"")</f>
      </c>
    </row>
    <row r="770" ht="15" customHeight="1" s="4" customFormat="1">
      <c r="A770" s="4" t="str">
        <f>IF(LEN('Open Positions'!B768)&gt;0,'Open Positions'!B768,"")</f>
      </c>
      <c r="B770" s="4" t="str">
        <f>IF(LEN('CALC'!A770)&gt;0,'Open Positions'!F768,"")</f>
      </c>
      <c r="C770" s="39" t="str">
        <f>IF(LEN(A770)&gt;0,'Open Positions'!Q768,"")</f>
      </c>
      <c r="D770" s="29" t="str">
        <f>IF(LEN(A770)&gt;0,B770*C770,"")</f>
      </c>
    </row>
    <row r="771" ht="15" customHeight="1" s="4" customFormat="1">
      <c r="A771" s="4" t="str">
        <f>IF(LEN('Open Positions'!B769)&gt;0,'Open Positions'!B769,"")</f>
      </c>
      <c r="B771" s="4" t="str">
        <f>IF(LEN('CALC'!A771)&gt;0,'Open Positions'!F769,"")</f>
      </c>
      <c r="C771" s="39" t="str">
        <f>IF(LEN(A771)&gt;0,'Open Positions'!Q769,"")</f>
      </c>
      <c r="D771" s="29" t="str">
        <f>IF(LEN(A771)&gt;0,B771*C771,"")</f>
      </c>
    </row>
    <row r="772" ht="15" customHeight="1" s="4" customFormat="1">
      <c r="A772" s="4" t="str">
        <f>IF(LEN('Open Positions'!B770)&gt;0,'Open Positions'!B770,"")</f>
      </c>
      <c r="B772" s="4" t="str">
        <f>IF(LEN('CALC'!A772)&gt;0,'Open Positions'!F770,"")</f>
      </c>
      <c r="C772" s="39" t="str">
        <f>IF(LEN(A772)&gt;0,'Open Positions'!Q770,"")</f>
      </c>
      <c r="D772" s="29" t="str">
        <f>IF(LEN(A772)&gt;0,B772*C772,"")</f>
      </c>
    </row>
    <row r="773" ht="15" customHeight="1" s="4" customFormat="1">
      <c r="A773" s="4" t="str">
        <f>IF(LEN('Open Positions'!B771)&gt;0,'Open Positions'!B771,"")</f>
      </c>
      <c r="B773" s="4" t="str">
        <f>IF(LEN('CALC'!A773)&gt;0,'Open Positions'!F771,"")</f>
      </c>
      <c r="C773" s="39" t="str">
        <f>IF(LEN(A773)&gt;0,'Open Positions'!Q771,"")</f>
      </c>
      <c r="D773" s="29" t="str">
        <f>IF(LEN(A773)&gt;0,B773*C773,"")</f>
      </c>
    </row>
    <row r="774" ht="15" customHeight="1" s="4" customFormat="1">
      <c r="A774" s="4" t="str">
        <f>IF(LEN('Open Positions'!B772)&gt;0,'Open Positions'!B772,"")</f>
      </c>
      <c r="B774" s="4" t="str">
        <f>IF(LEN('CALC'!A774)&gt;0,'Open Positions'!F772,"")</f>
      </c>
      <c r="C774" s="39" t="str">
        <f>IF(LEN(A774)&gt;0,'Open Positions'!Q772,"")</f>
      </c>
      <c r="D774" s="29" t="str">
        <f>IF(LEN(A774)&gt;0,B774*C774,"")</f>
      </c>
    </row>
    <row r="775" ht="15" customHeight="1" s="4" customFormat="1">
      <c r="A775" s="4" t="str">
        <f>IF(LEN('Open Positions'!B773)&gt;0,'Open Positions'!B773,"")</f>
      </c>
      <c r="B775" s="4" t="str">
        <f>IF(LEN('CALC'!A775)&gt;0,'Open Positions'!F773,"")</f>
      </c>
      <c r="C775" s="39" t="str">
        <f>IF(LEN(A775)&gt;0,'Open Positions'!Q773,"")</f>
      </c>
      <c r="D775" s="29" t="str">
        <f>IF(LEN(A775)&gt;0,B775*C775,"")</f>
      </c>
    </row>
    <row r="776" ht="15" customHeight="1" s="4" customFormat="1">
      <c r="A776" s="4" t="str">
        <f>IF(LEN('Open Positions'!B774)&gt;0,'Open Positions'!B774,"")</f>
      </c>
      <c r="B776" s="4" t="str">
        <f>IF(LEN('CALC'!A776)&gt;0,'Open Positions'!F774,"")</f>
      </c>
      <c r="C776" s="39" t="str">
        <f>IF(LEN(A776)&gt;0,'Open Positions'!Q774,"")</f>
      </c>
      <c r="D776" s="29" t="str">
        <f>IF(LEN(A776)&gt;0,B776*C776,"")</f>
      </c>
    </row>
    <row r="777" ht="15" customHeight="1" s="4" customFormat="1">
      <c r="A777" s="4" t="str">
        <f>IF(LEN('Open Positions'!B775)&gt;0,'Open Positions'!B775,"")</f>
      </c>
      <c r="B777" s="4" t="str">
        <f>IF(LEN('CALC'!A777)&gt;0,'Open Positions'!F775,"")</f>
      </c>
      <c r="C777" s="39" t="str">
        <f>IF(LEN(A777)&gt;0,'Open Positions'!Q775,"")</f>
      </c>
      <c r="D777" s="29" t="str">
        <f>IF(LEN(A777)&gt;0,B777*C777,"")</f>
      </c>
    </row>
    <row r="778" ht="15" customHeight="1" s="4" customFormat="1">
      <c r="A778" s="4" t="str">
        <f>IF(LEN('Open Positions'!B776)&gt;0,'Open Positions'!B776,"")</f>
      </c>
      <c r="B778" s="4" t="str">
        <f>IF(LEN('CALC'!A778)&gt;0,'Open Positions'!F776,"")</f>
      </c>
      <c r="C778" s="39" t="str">
        <f>IF(LEN(A778)&gt;0,'Open Positions'!Q776,"")</f>
      </c>
      <c r="D778" s="29" t="str">
        <f>IF(LEN(A778)&gt;0,B778*C778,"")</f>
      </c>
    </row>
    <row r="779" ht="15" customHeight="1" s="4" customFormat="1">
      <c r="A779" s="4" t="str">
        <f>IF(LEN('Open Positions'!B777)&gt;0,'Open Positions'!B777,"")</f>
      </c>
      <c r="B779" s="4" t="str">
        <f>IF(LEN('CALC'!A779)&gt;0,'Open Positions'!F777,"")</f>
      </c>
      <c r="C779" s="39" t="str">
        <f>IF(LEN(A779)&gt;0,'Open Positions'!Q777,"")</f>
      </c>
      <c r="D779" s="29" t="str">
        <f>IF(LEN(A779)&gt;0,B779*C779,"")</f>
      </c>
    </row>
    <row r="780" ht="15" customHeight="1" s="4" customFormat="1">
      <c r="A780" s="4" t="str">
        <f>IF(LEN('Open Positions'!B778)&gt;0,'Open Positions'!B778,"")</f>
      </c>
      <c r="B780" s="4" t="str">
        <f>IF(LEN('CALC'!A780)&gt;0,'Open Positions'!F778,"")</f>
      </c>
      <c r="C780" s="39" t="str">
        <f>IF(LEN(A780)&gt;0,'Open Positions'!Q778,"")</f>
      </c>
      <c r="D780" s="29" t="str">
        <f>IF(LEN(A780)&gt;0,B780*C780,"")</f>
      </c>
    </row>
    <row r="781" ht="15" customHeight="1" s="4" customFormat="1">
      <c r="A781" s="4" t="str">
        <f>IF(LEN('Open Positions'!B779)&gt;0,'Open Positions'!B779,"")</f>
      </c>
      <c r="B781" s="4" t="str">
        <f>IF(LEN('CALC'!A781)&gt;0,'Open Positions'!F779,"")</f>
      </c>
      <c r="C781" s="39" t="str">
        <f>IF(LEN(A781)&gt;0,'Open Positions'!Q779,"")</f>
      </c>
      <c r="D781" s="29" t="str">
        <f>IF(LEN(A781)&gt;0,B781*C781,"")</f>
      </c>
    </row>
    <row r="782" ht="15" customHeight="1" s="4" customFormat="1">
      <c r="A782" s="4" t="str">
        <f>IF(LEN('Open Positions'!B780)&gt;0,'Open Positions'!B780,"")</f>
      </c>
      <c r="B782" s="4" t="str">
        <f>IF(LEN('CALC'!A782)&gt;0,'Open Positions'!F780,"")</f>
      </c>
      <c r="C782" s="39" t="str">
        <f>IF(LEN(A782)&gt;0,'Open Positions'!Q780,"")</f>
      </c>
      <c r="D782" s="29" t="str">
        <f>IF(LEN(A782)&gt;0,B782*C782,"")</f>
      </c>
    </row>
    <row r="783" ht="15" customHeight="1" s="4" customFormat="1">
      <c r="A783" s="4" t="str">
        <f>IF(LEN('Open Positions'!B781)&gt;0,'Open Positions'!B781,"")</f>
      </c>
      <c r="B783" s="4" t="str">
        <f>IF(LEN('CALC'!A783)&gt;0,'Open Positions'!F781,"")</f>
      </c>
      <c r="C783" s="39" t="str">
        <f>IF(LEN(A783)&gt;0,'Open Positions'!Q781,"")</f>
      </c>
      <c r="D783" s="29" t="str">
        <f>IF(LEN(A783)&gt;0,B783*C783,"")</f>
      </c>
    </row>
    <row r="784" ht="15" customHeight="1" s="4" customFormat="1">
      <c r="A784" s="4" t="str">
        <f>IF(LEN('Open Positions'!B782)&gt;0,'Open Positions'!B782,"")</f>
      </c>
      <c r="B784" s="4" t="str">
        <f>IF(LEN('CALC'!A784)&gt;0,'Open Positions'!F782,"")</f>
      </c>
      <c r="C784" s="39" t="str">
        <f>IF(LEN(A784)&gt;0,'Open Positions'!Q782,"")</f>
      </c>
      <c r="D784" s="29" t="str">
        <f>IF(LEN(A784)&gt;0,B784*C784,"")</f>
      </c>
    </row>
    <row r="785" ht="15" customHeight="1" s="4" customFormat="1">
      <c r="A785" s="4" t="str">
        <f>IF(LEN('Open Positions'!B783)&gt;0,'Open Positions'!B783,"")</f>
      </c>
      <c r="B785" s="4" t="str">
        <f>IF(LEN('CALC'!A785)&gt;0,'Open Positions'!F783,"")</f>
      </c>
      <c r="C785" s="39" t="str">
        <f>IF(LEN(A785)&gt;0,'Open Positions'!Q783,"")</f>
      </c>
      <c r="D785" s="29" t="str">
        <f>IF(LEN(A785)&gt;0,B785*C785,"")</f>
      </c>
    </row>
    <row r="786" ht="15" customHeight="1" s="4" customFormat="1">
      <c r="A786" s="4" t="str">
        <f>IF(LEN('Open Positions'!B784)&gt;0,'Open Positions'!B784,"")</f>
      </c>
      <c r="B786" s="4" t="str">
        <f>IF(LEN('CALC'!A786)&gt;0,'Open Positions'!F784,"")</f>
      </c>
      <c r="C786" s="39" t="str">
        <f>IF(LEN(A786)&gt;0,'Open Positions'!Q784,"")</f>
      </c>
      <c r="D786" s="29" t="str">
        <f>IF(LEN(A786)&gt;0,B786*C786,"")</f>
      </c>
    </row>
    <row r="787" ht="15" customHeight="1" s="4" customFormat="1">
      <c r="A787" s="4" t="str">
        <f>IF(LEN('Open Positions'!B785)&gt;0,'Open Positions'!B785,"")</f>
      </c>
      <c r="B787" s="4" t="str">
        <f>IF(LEN('CALC'!A787)&gt;0,'Open Positions'!F785,"")</f>
      </c>
      <c r="C787" s="39" t="str">
        <f>IF(LEN(A787)&gt;0,'Open Positions'!Q785,"")</f>
      </c>
      <c r="D787" s="29" t="str">
        <f>IF(LEN(A787)&gt;0,B787*C787,"")</f>
      </c>
    </row>
    <row r="788" ht="15" customHeight="1" s="4" customFormat="1">
      <c r="A788" s="4" t="str">
        <f>IF(LEN('Open Positions'!B786)&gt;0,'Open Positions'!B786,"")</f>
      </c>
      <c r="B788" s="4" t="str">
        <f>IF(LEN('CALC'!A788)&gt;0,'Open Positions'!F786,"")</f>
      </c>
      <c r="C788" s="39" t="str">
        <f>IF(LEN(A788)&gt;0,'Open Positions'!Q786,"")</f>
      </c>
      <c r="D788" s="29" t="str">
        <f>IF(LEN(A788)&gt;0,B788*C788,"")</f>
      </c>
    </row>
    <row r="789" ht="15" customHeight="1" s="4" customFormat="1">
      <c r="A789" s="4" t="str">
        <f>IF(LEN('Open Positions'!B787)&gt;0,'Open Positions'!B787,"")</f>
      </c>
      <c r="B789" s="4" t="str">
        <f>IF(LEN('CALC'!A789)&gt;0,'Open Positions'!F787,"")</f>
      </c>
      <c r="C789" s="39" t="str">
        <f>IF(LEN(A789)&gt;0,'Open Positions'!Q787,"")</f>
      </c>
      <c r="D789" s="29" t="str">
        <f>IF(LEN(A789)&gt;0,B789*C789,"")</f>
      </c>
    </row>
    <row r="790" ht="15" customHeight="1" s="4" customFormat="1">
      <c r="A790" s="4" t="str">
        <f>IF(LEN('Open Positions'!B788)&gt;0,'Open Positions'!B788,"")</f>
      </c>
      <c r="B790" s="4" t="str">
        <f>IF(LEN('CALC'!A790)&gt;0,'Open Positions'!F788,"")</f>
      </c>
      <c r="C790" s="39" t="str">
        <f>IF(LEN(A790)&gt;0,'Open Positions'!Q788,"")</f>
      </c>
      <c r="D790" s="29" t="str">
        <f>IF(LEN(A790)&gt;0,B790*C790,"")</f>
      </c>
    </row>
    <row r="791" ht="15" customHeight="1" s="4" customFormat="1">
      <c r="A791" s="4" t="str">
        <f>IF(LEN('Open Positions'!B789)&gt;0,'Open Positions'!B789,"")</f>
      </c>
      <c r="B791" s="4" t="str">
        <f>IF(LEN('CALC'!A791)&gt;0,'Open Positions'!F789,"")</f>
      </c>
      <c r="C791" s="39" t="str">
        <f>IF(LEN(A791)&gt;0,'Open Positions'!Q789,"")</f>
      </c>
      <c r="D791" s="29" t="str">
        <f>IF(LEN(A791)&gt;0,B791*C791,"")</f>
      </c>
    </row>
    <row r="792" ht="15" customHeight="1" s="4" customFormat="1">
      <c r="A792" s="4" t="str">
        <f>IF(LEN('Open Positions'!B790)&gt;0,'Open Positions'!B790,"")</f>
      </c>
      <c r="B792" s="4" t="str">
        <f>IF(LEN('CALC'!A792)&gt;0,'Open Positions'!F790,"")</f>
      </c>
      <c r="C792" s="39" t="str">
        <f>IF(LEN(A792)&gt;0,'Open Positions'!Q790,"")</f>
      </c>
      <c r="D792" s="29" t="str">
        <f>IF(LEN(A792)&gt;0,B792*C792,"")</f>
      </c>
    </row>
    <row r="793" ht="15" customHeight="1" s="4" customFormat="1">
      <c r="A793" s="4" t="str">
        <f>IF(LEN('Open Positions'!B791)&gt;0,'Open Positions'!B791,"")</f>
      </c>
      <c r="B793" s="4" t="str">
        <f>IF(LEN('CALC'!A793)&gt;0,'Open Positions'!F791,"")</f>
      </c>
      <c r="C793" s="39" t="str">
        <f>IF(LEN(A793)&gt;0,'Open Positions'!Q791,"")</f>
      </c>
      <c r="D793" s="29" t="str">
        <f>IF(LEN(A793)&gt;0,B793*C793,"")</f>
      </c>
    </row>
    <row r="794" ht="15" customHeight="1" s="4" customFormat="1">
      <c r="A794" s="4" t="str">
        <f>IF(LEN('Open Positions'!B792)&gt;0,'Open Positions'!B792,"")</f>
      </c>
      <c r="B794" s="4" t="str">
        <f>IF(LEN('CALC'!A794)&gt;0,'Open Positions'!F792,"")</f>
      </c>
      <c r="C794" s="39" t="str">
        <f>IF(LEN(A794)&gt;0,'Open Positions'!Q792,"")</f>
      </c>
      <c r="D794" s="29" t="str">
        <f>IF(LEN(A794)&gt;0,B794*C794,"")</f>
      </c>
    </row>
    <row r="795" ht="15" customHeight="1" s="4" customFormat="1">
      <c r="A795" s="4" t="str">
        <f>IF(LEN('Open Positions'!B793)&gt;0,'Open Positions'!B793,"")</f>
      </c>
      <c r="B795" s="4" t="str">
        <f>IF(LEN('CALC'!A795)&gt;0,'Open Positions'!F793,"")</f>
      </c>
      <c r="C795" s="39" t="str">
        <f>IF(LEN(A795)&gt;0,'Open Positions'!Q793,"")</f>
      </c>
      <c r="D795" s="29" t="str">
        <f>IF(LEN(A795)&gt;0,B795*C795,"")</f>
      </c>
    </row>
    <row r="796" ht="15" customHeight="1" s="4" customFormat="1">
      <c r="A796" s="4" t="str">
        <f>IF(LEN('Open Positions'!B794)&gt;0,'Open Positions'!B794,"")</f>
      </c>
      <c r="B796" s="4" t="str">
        <f>IF(LEN('CALC'!A796)&gt;0,'Open Positions'!F794,"")</f>
      </c>
      <c r="C796" s="39" t="str">
        <f>IF(LEN(A796)&gt;0,'Open Positions'!Q794,"")</f>
      </c>
      <c r="D796" s="29" t="str">
        <f>IF(LEN(A796)&gt;0,B796*C796,"")</f>
      </c>
    </row>
    <row r="797" ht="15" customHeight="1" s="4" customFormat="1">
      <c r="A797" s="4" t="str">
        <f>IF(LEN('Open Positions'!B795)&gt;0,'Open Positions'!B795,"")</f>
      </c>
      <c r="B797" s="4" t="str">
        <f>IF(LEN('CALC'!A797)&gt;0,'Open Positions'!F795,"")</f>
      </c>
      <c r="C797" s="39" t="str">
        <f>IF(LEN(A797)&gt;0,'Open Positions'!Q795,"")</f>
      </c>
      <c r="D797" s="29" t="str">
        <f>IF(LEN(A797)&gt;0,B797*C797,"")</f>
      </c>
    </row>
    <row r="798" ht="15" customHeight="1" s="4" customFormat="1">
      <c r="A798" s="4" t="str">
        <f>IF(LEN('Open Positions'!B796)&gt;0,'Open Positions'!B796,"")</f>
      </c>
      <c r="B798" s="4" t="str">
        <f>IF(LEN('CALC'!A798)&gt;0,'Open Positions'!F796,"")</f>
      </c>
      <c r="C798" s="39" t="str">
        <f>IF(LEN(A798)&gt;0,'Open Positions'!Q796,"")</f>
      </c>
      <c r="D798" s="29" t="str">
        <f>IF(LEN(A798)&gt;0,B798*C798,"")</f>
      </c>
    </row>
    <row r="799" ht="15" customHeight="1" s="4" customFormat="1">
      <c r="A799" s="4" t="str">
        <f>IF(LEN('Open Positions'!B797)&gt;0,'Open Positions'!B797,"")</f>
      </c>
      <c r="B799" s="4" t="str">
        <f>IF(LEN('CALC'!A799)&gt;0,'Open Positions'!F797,"")</f>
      </c>
      <c r="C799" s="39" t="str">
        <f>IF(LEN(A799)&gt;0,'Open Positions'!Q797,"")</f>
      </c>
      <c r="D799" s="29" t="str">
        <f>IF(LEN(A799)&gt;0,B799*C799,"")</f>
      </c>
    </row>
    <row r="800" ht="15" customHeight="1" s="4" customFormat="1">
      <c r="A800" s="4" t="str">
        <f>IF(LEN('Open Positions'!B798)&gt;0,'Open Positions'!B798,"")</f>
      </c>
      <c r="B800" s="4" t="str">
        <f>IF(LEN('CALC'!A800)&gt;0,'Open Positions'!F798,"")</f>
      </c>
      <c r="C800" s="39" t="str">
        <f>IF(LEN(A800)&gt;0,'Open Positions'!Q798,"")</f>
      </c>
      <c r="D800" s="29" t="str">
        <f>IF(LEN(A800)&gt;0,B800*C800,"")</f>
      </c>
    </row>
    <row r="801" ht="15" customHeight="1" s="4" customFormat="1">
      <c r="A801" s="4" t="str">
        <f>IF(LEN('Open Positions'!B799)&gt;0,'Open Positions'!B799,"")</f>
      </c>
      <c r="B801" s="4" t="str">
        <f>IF(LEN('CALC'!A801)&gt;0,'Open Positions'!F799,"")</f>
      </c>
      <c r="C801" s="39" t="str">
        <f>IF(LEN(A801)&gt;0,'Open Positions'!Q799,"")</f>
      </c>
      <c r="D801" s="29" t="str">
        <f>IF(LEN(A801)&gt;0,B801*C801,"")</f>
      </c>
    </row>
    <row r="802" ht="15" customHeight="1" s="4" customFormat="1">
      <c r="A802" s="4" t="str">
        <f>IF(LEN('Open Positions'!B800)&gt;0,'Open Positions'!B800,"")</f>
      </c>
      <c r="B802" s="4" t="str">
        <f>IF(LEN('CALC'!A802)&gt;0,'Open Positions'!F800,"")</f>
      </c>
      <c r="C802" s="39" t="str">
        <f>IF(LEN(A802)&gt;0,'Open Positions'!Q800,"")</f>
      </c>
      <c r="D802" s="29" t="str">
        <f>IF(LEN(A802)&gt;0,B802*C802,"")</f>
      </c>
    </row>
    <row r="803" ht="15" customHeight="1" s="4" customFormat="1">
      <c r="A803" s="4" t="str">
        <f>IF(LEN('Open Positions'!B801)&gt;0,'Open Positions'!B801,"")</f>
      </c>
      <c r="B803" s="4" t="str">
        <f>IF(LEN('CALC'!A803)&gt;0,'Open Positions'!F801,"")</f>
      </c>
      <c r="C803" s="39" t="str">
        <f>IF(LEN(A803)&gt;0,'Open Positions'!Q801,"")</f>
      </c>
      <c r="D803" s="29" t="str">
        <f>IF(LEN(A803)&gt;0,B803*C803,"")</f>
      </c>
    </row>
    <row r="804" ht="15" customHeight="1" s="4" customFormat="1">
      <c r="A804" s="4" t="str">
        <f>IF(LEN('Open Positions'!B802)&gt;0,'Open Positions'!B802,"")</f>
      </c>
      <c r="B804" s="4" t="str">
        <f>IF(LEN('CALC'!A804)&gt;0,'Open Positions'!F802,"")</f>
      </c>
      <c r="C804" s="39" t="str">
        <f>IF(LEN(A804)&gt;0,'Open Positions'!Q802,"")</f>
      </c>
      <c r="D804" s="29" t="str">
        <f>IF(LEN(A804)&gt;0,B804*C804,"")</f>
      </c>
    </row>
    <row r="805" ht="15" customHeight="1" s="4" customFormat="1">
      <c r="A805" s="4" t="str">
        <f>IF(LEN('Open Positions'!B803)&gt;0,'Open Positions'!B803,"")</f>
      </c>
      <c r="B805" s="4" t="str">
        <f>IF(LEN('CALC'!A805)&gt;0,'Open Positions'!F803,"")</f>
      </c>
      <c r="C805" s="39" t="str">
        <f>IF(LEN(A805)&gt;0,'Open Positions'!Q803,"")</f>
      </c>
      <c r="D805" s="29" t="str">
        <f>IF(LEN(A805)&gt;0,B805*C805,"")</f>
      </c>
    </row>
    <row r="806" ht="15" customHeight="1" s="4" customFormat="1">
      <c r="A806" s="4" t="str">
        <f>IF(LEN('Open Positions'!B804)&gt;0,'Open Positions'!B804,"")</f>
      </c>
      <c r="B806" s="4" t="str">
        <f>IF(LEN('CALC'!A806)&gt;0,'Open Positions'!F804,"")</f>
      </c>
      <c r="C806" s="39" t="str">
        <f>IF(LEN(A806)&gt;0,'Open Positions'!Q804,"")</f>
      </c>
      <c r="D806" s="29" t="str">
        <f>IF(LEN(A806)&gt;0,B806*C806,"")</f>
      </c>
    </row>
    <row r="807" ht="15" customHeight="1" s="4" customFormat="1">
      <c r="A807" s="4" t="str">
        <f>IF(LEN('Open Positions'!B805)&gt;0,'Open Positions'!B805,"")</f>
      </c>
      <c r="B807" s="4" t="str">
        <f>IF(LEN('CALC'!A807)&gt;0,'Open Positions'!F805,"")</f>
      </c>
      <c r="C807" s="39" t="str">
        <f>IF(LEN(A807)&gt;0,'Open Positions'!Q805,"")</f>
      </c>
      <c r="D807" s="29" t="str">
        <f>IF(LEN(A807)&gt;0,B807*C807,"")</f>
      </c>
    </row>
    <row r="808" ht="15" customHeight="1" s="4" customFormat="1">
      <c r="A808" s="4" t="str">
        <f>IF(LEN('Open Positions'!B806)&gt;0,'Open Positions'!B806,"")</f>
      </c>
      <c r="B808" s="4" t="str">
        <f>IF(LEN('CALC'!A808)&gt;0,'Open Positions'!F806,"")</f>
      </c>
      <c r="C808" s="39" t="str">
        <f>IF(LEN(A808)&gt;0,'Open Positions'!Q806,"")</f>
      </c>
      <c r="D808" s="29" t="str">
        <f>IF(LEN(A808)&gt;0,B808*C808,"")</f>
      </c>
    </row>
    <row r="809" ht="15" customHeight="1" s="4" customFormat="1">
      <c r="A809" s="4" t="str">
        <f>IF(LEN('Open Positions'!B807)&gt;0,'Open Positions'!B807,"")</f>
      </c>
      <c r="B809" s="4" t="str">
        <f>IF(LEN('CALC'!A809)&gt;0,'Open Positions'!F807,"")</f>
      </c>
      <c r="C809" s="39" t="str">
        <f>IF(LEN(A809)&gt;0,'Open Positions'!Q807,"")</f>
      </c>
      <c r="D809" s="29" t="str">
        <f>IF(LEN(A809)&gt;0,B809*C809,"")</f>
      </c>
    </row>
    <row r="810" ht="15" customHeight="1" s="4" customFormat="1">
      <c r="A810" s="4" t="str">
        <f>IF(LEN('Open Positions'!B808)&gt;0,'Open Positions'!B808,"")</f>
      </c>
      <c r="B810" s="4" t="str">
        <f>IF(LEN('CALC'!A810)&gt;0,'Open Positions'!F808,"")</f>
      </c>
      <c r="C810" s="39" t="str">
        <f>IF(LEN(A810)&gt;0,'Open Positions'!Q808,"")</f>
      </c>
      <c r="D810" s="29" t="str">
        <f>IF(LEN(A810)&gt;0,B810*C810,"")</f>
      </c>
    </row>
    <row r="811" ht="15" customHeight="1" s="4" customFormat="1">
      <c r="A811" s="4" t="str">
        <f>IF(LEN('Open Positions'!B809)&gt;0,'Open Positions'!B809,"")</f>
      </c>
      <c r="B811" s="4" t="str">
        <f>IF(LEN('CALC'!A811)&gt;0,'Open Positions'!F809,"")</f>
      </c>
      <c r="C811" s="39" t="str">
        <f>IF(LEN(A811)&gt;0,'Open Positions'!Q809,"")</f>
      </c>
      <c r="D811" s="29" t="str">
        <f>IF(LEN(A811)&gt;0,B811*C811,"")</f>
      </c>
    </row>
    <row r="812" ht="15" customHeight="1" s="4" customFormat="1">
      <c r="A812" s="4" t="str">
        <f>IF(LEN('Open Positions'!B810)&gt;0,'Open Positions'!B810,"")</f>
      </c>
      <c r="B812" s="4" t="str">
        <f>IF(LEN('CALC'!A812)&gt;0,'Open Positions'!F810,"")</f>
      </c>
      <c r="C812" s="39" t="str">
        <f>IF(LEN(A812)&gt;0,'Open Positions'!Q810,"")</f>
      </c>
      <c r="D812" s="29" t="str">
        <f>IF(LEN(A812)&gt;0,B812*C812,"")</f>
      </c>
    </row>
    <row r="813" ht="15" customHeight="1" s="4" customFormat="1">
      <c r="A813" s="4" t="str">
        <f>IF(LEN('Open Positions'!B811)&gt;0,'Open Positions'!B811,"")</f>
      </c>
      <c r="B813" s="4" t="str">
        <f>IF(LEN('CALC'!A813)&gt;0,'Open Positions'!F811,"")</f>
      </c>
      <c r="C813" s="39" t="str">
        <f>IF(LEN(A813)&gt;0,'Open Positions'!Q811,"")</f>
      </c>
      <c r="D813" s="29" t="str">
        <f>IF(LEN(A813)&gt;0,B813*C813,"")</f>
      </c>
    </row>
    <row r="814" ht="15" customHeight="1" s="4" customFormat="1">
      <c r="A814" s="4" t="str">
        <f>IF(LEN('Open Positions'!B812)&gt;0,'Open Positions'!B812,"")</f>
      </c>
      <c r="B814" s="4" t="str">
        <f>IF(LEN('CALC'!A814)&gt;0,'Open Positions'!F812,"")</f>
      </c>
      <c r="C814" s="39" t="str">
        <f>IF(LEN(A814)&gt;0,'Open Positions'!Q812,"")</f>
      </c>
      <c r="D814" s="29" t="str">
        <f>IF(LEN(A814)&gt;0,B814*C814,"")</f>
      </c>
    </row>
    <row r="815" ht="15" customHeight="1" s="4" customFormat="1">
      <c r="A815" s="4" t="str">
        <f>IF(LEN('Open Positions'!B813)&gt;0,'Open Positions'!B813,"")</f>
      </c>
      <c r="B815" s="4" t="str">
        <f>IF(LEN('CALC'!A815)&gt;0,'Open Positions'!F813,"")</f>
      </c>
      <c r="C815" s="39" t="str">
        <f>IF(LEN(A815)&gt;0,'Open Positions'!Q813,"")</f>
      </c>
      <c r="D815" s="29" t="str">
        <f>IF(LEN(A815)&gt;0,B815*C815,"")</f>
      </c>
    </row>
    <row r="816" ht="15" customHeight="1" s="4" customFormat="1">
      <c r="A816" s="4" t="str">
        <f>IF(LEN('Open Positions'!B814)&gt;0,'Open Positions'!B814,"")</f>
      </c>
      <c r="B816" s="4" t="str">
        <f>IF(LEN('CALC'!A816)&gt;0,'Open Positions'!F814,"")</f>
      </c>
      <c r="C816" s="39" t="str">
        <f>IF(LEN(A816)&gt;0,'Open Positions'!Q814,"")</f>
      </c>
      <c r="D816" s="29" t="str">
        <f>IF(LEN(A816)&gt;0,B816*C816,"")</f>
      </c>
    </row>
    <row r="817" ht="15" customHeight="1" s="4" customFormat="1">
      <c r="A817" s="4" t="str">
        <f>IF(LEN('Open Positions'!B815)&gt;0,'Open Positions'!B815,"")</f>
      </c>
      <c r="B817" s="4" t="str">
        <f>IF(LEN('CALC'!A817)&gt;0,'Open Positions'!F815,"")</f>
      </c>
      <c r="C817" s="39" t="str">
        <f>IF(LEN(A817)&gt;0,'Open Positions'!Q815,"")</f>
      </c>
      <c r="D817" s="29" t="str">
        <f>IF(LEN(A817)&gt;0,B817*C817,"")</f>
      </c>
    </row>
    <row r="818" ht="15" customHeight="1" s="4" customFormat="1">
      <c r="A818" s="4" t="str">
        <f>IF(LEN('Open Positions'!B816)&gt;0,'Open Positions'!B816,"")</f>
      </c>
      <c r="B818" s="4" t="str">
        <f>IF(LEN('CALC'!A818)&gt;0,'Open Positions'!F816,"")</f>
      </c>
      <c r="C818" s="39" t="str">
        <f>IF(LEN(A818)&gt;0,'Open Positions'!Q816,"")</f>
      </c>
      <c r="D818" s="29" t="str">
        <f>IF(LEN(A818)&gt;0,B818*C818,"")</f>
      </c>
    </row>
    <row r="819" ht="15" customHeight="1" s="4" customFormat="1">
      <c r="A819" s="4" t="str">
        <f>IF(LEN('Open Positions'!B817)&gt;0,'Open Positions'!B817,"")</f>
      </c>
      <c r="B819" s="4" t="str">
        <f>IF(LEN('CALC'!A819)&gt;0,'Open Positions'!F817,"")</f>
      </c>
      <c r="C819" s="39" t="str">
        <f>IF(LEN(A819)&gt;0,'Open Positions'!Q817,"")</f>
      </c>
      <c r="D819" s="29" t="str">
        <f>IF(LEN(A819)&gt;0,B819*C819,"")</f>
      </c>
    </row>
    <row r="820" ht="15" customHeight="1" s="4" customFormat="1">
      <c r="A820" s="4" t="str">
        <f>IF(LEN('Open Positions'!B818)&gt;0,'Open Positions'!B818,"")</f>
      </c>
      <c r="B820" s="4" t="str">
        <f>IF(LEN('CALC'!A820)&gt;0,'Open Positions'!F818,"")</f>
      </c>
      <c r="C820" s="39" t="str">
        <f>IF(LEN(A820)&gt;0,'Open Positions'!Q818,"")</f>
      </c>
      <c r="D820" s="29" t="str">
        <f>IF(LEN(A820)&gt;0,B820*C820,"")</f>
      </c>
    </row>
    <row r="821" ht="15" customHeight="1" s="4" customFormat="1">
      <c r="A821" s="4" t="str">
        <f>IF(LEN('Open Positions'!B819)&gt;0,'Open Positions'!B819,"")</f>
      </c>
      <c r="B821" s="4" t="str">
        <f>IF(LEN('CALC'!A821)&gt;0,'Open Positions'!F819,"")</f>
      </c>
      <c r="C821" s="39" t="str">
        <f>IF(LEN(A821)&gt;0,'Open Positions'!Q819,"")</f>
      </c>
      <c r="D821" s="29" t="str">
        <f>IF(LEN(A821)&gt;0,B821*C821,"")</f>
      </c>
    </row>
    <row r="822" ht="15" customHeight="1" s="4" customFormat="1">
      <c r="A822" s="4" t="str">
        <f>IF(LEN('Open Positions'!B820)&gt;0,'Open Positions'!B820,"")</f>
      </c>
      <c r="B822" s="4" t="str">
        <f>IF(LEN('CALC'!A822)&gt;0,'Open Positions'!F820,"")</f>
      </c>
      <c r="C822" s="39" t="str">
        <f>IF(LEN(A822)&gt;0,'Open Positions'!Q820,"")</f>
      </c>
      <c r="D822" s="29" t="str">
        <f>IF(LEN(A822)&gt;0,B822*C822,"")</f>
      </c>
    </row>
    <row r="823" ht="15" customHeight="1" s="4" customFormat="1">
      <c r="A823" s="4" t="str">
        <f>IF(LEN('Open Positions'!B821)&gt;0,'Open Positions'!B821,"")</f>
      </c>
      <c r="B823" s="4" t="str">
        <f>IF(LEN('CALC'!A823)&gt;0,'Open Positions'!F821,"")</f>
      </c>
      <c r="C823" s="39" t="str">
        <f>IF(LEN(A823)&gt;0,'Open Positions'!Q821,"")</f>
      </c>
      <c r="D823" s="29" t="str">
        <f>IF(LEN(A823)&gt;0,B823*C823,"")</f>
      </c>
    </row>
    <row r="824" ht="15" customHeight="1" s="4" customFormat="1">
      <c r="A824" s="4" t="str">
        <f>IF(LEN('Open Positions'!B822)&gt;0,'Open Positions'!B822,"")</f>
      </c>
      <c r="B824" s="4" t="str">
        <f>IF(LEN('CALC'!A824)&gt;0,'Open Positions'!F822,"")</f>
      </c>
      <c r="C824" s="39" t="str">
        <f>IF(LEN(A824)&gt;0,'Open Positions'!Q822,"")</f>
      </c>
      <c r="D824" s="29" t="str">
        <f>IF(LEN(A824)&gt;0,B824*C824,"")</f>
      </c>
    </row>
    <row r="825" ht="15" customHeight="1" s="4" customFormat="1">
      <c r="A825" s="4" t="str">
        <f>IF(LEN('Open Positions'!B823)&gt;0,'Open Positions'!B823,"")</f>
      </c>
      <c r="B825" s="4" t="str">
        <f>IF(LEN('CALC'!A825)&gt;0,'Open Positions'!F823,"")</f>
      </c>
      <c r="C825" s="39" t="str">
        <f>IF(LEN(A825)&gt;0,'Open Positions'!Q823,"")</f>
      </c>
      <c r="D825" s="29" t="str">
        <f>IF(LEN(A825)&gt;0,B825*C825,"")</f>
      </c>
    </row>
    <row r="826" ht="15" customHeight="1" s="4" customFormat="1">
      <c r="A826" s="4" t="str">
        <f>IF(LEN('Open Positions'!B824)&gt;0,'Open Positions'!B824,"")</f>
      </c>
      <c r="B826" s="4" t="str">
        <f>IF(LEN('CALC'!A826)&gt;0,'Open Positions'!F824,"")</f>
      </c>
      <c r="C826" s="39" t="str">
        <f>IF(LEN(A826)&gt;0,'Open Positions'!Q824,"")</f>
      </c>
      <c r="D826" s="29" t="str">
        <f>IF(LEN(A826)&gt;0,B826*C826,"")</f>
      </c>
    </row>
    <row r="827" ht="15" customHeight="1" s="4" customFormat="1">
      <c r="A827" s="4" t="str">
        <f>IF(LEN('Open Positions'!B825)&gt;0,'Open Positions'!B825,"")</f>
      </c>
      <c r="B827" s="4" t="str">
        <f>IF(LEN('CALC'!A827)&gt;0,'Open Positions'!F825,"")</f>
      </c>
      <c r="C827" s="39" t="str">
        <f>IF(LEN(A827)&gt;0,'Open Positions'!Q825,"")</f>
      </c>
      <c r="D827" s="29" t="str">
        <f>IF(LEN(A827)&gt;0,B827*C827,"")</f>
      </c>
    </row>
    <row r="828" ht="15" customHeight="1" s="4" customFormat="1">
      <c r="A828" s="4" t="str">
        <f>IF(LEN('Open Positions'!B826)&gt;0,'Open Positions'!B826,"")</f>
      </c>
      <c r="B828" s="4" t="str">
        <f>IF(LEN('CALC'!A828)&gt;0,'Open Positions'!F826,"")</f>
      </c>
      <c r="C828" s="39" t="str">
        <f>IF(LEN(A828)&gt;0,'Open Positions'!Q826,"")</f>
      </c>
      <c r="D828" s="29" t="str">
        <f>IF(LEN(A828)&gt;0,B828*C828,"")</f>
      </c>
    </row>
    <row r="829" ht="15" customHeight="1" s="4" customFormat="1">
      <c r="A829" s="4" t="str">
        <f>IF(LEN('Open Positions'!B827)&gt;0,'Open Positions'!B827,"")</f>
      </c>
      <c r="B829" s="4" t="str">
        <f>IF(LEN('CALC'!A829)&gt;0,'Open Positions'!F827,"")</f>
      </c>
      <c r="C829" s="39" t="str">
        <f>IF(LEN(A829)&gt;0,'Open Positions'!Q827,"")</f>
      </c>
      <c r="D829" s="29" t="str">
        <f>IF(LEN(A829)&gt;0,B829*C829,"")</f>
      </c>
    </row>
    <row r="830" ht="15" customHeight="1" s="4" customFormat="1">
      <c r="A830" s="4" t="str">
        <f>IF(LEN('Open Positions'!B828)&gt;0,'Open Positions'!B828,"")</f>
      </c>
      <c r="B830" s="4" t="str">
        <f>IF(LEN('CALC'!A830)&gt;0,'Open Positions'!F828,"")</f>
      </c>
      <c r="C830" s="39" t="str">
        <f>IF(LEN(A830)&gt;0,'Open Positions'!Q828,"")</f>
      </c>
      <c r="D830" s="29" t="str">
        <f>IF(LEN(A830)&gt;0,B830*C830,"")</f>
      </c>
    </row>
    <row r="831" ht="15" customHeight="1" s="4" customFormat="1">
      <c r="A831" s="4" t="str">
        <f>IF(LEN('Open Positions'!B829)&gt;0,'Open Positions'!B829,"")</f>
      </c>
      <c r="B831" s="4" t="str">
        <f>IF(LEN('CALC'!A831)&gt;0,'Open Positions'!F829,"")</f>
      </c>
      <c r="C831" s="39" t="str">
        <f>IF(LEN(A831)&gt;0,'Open Positions'!Q829,"")</f>
      </c>
      <c r="D831" s="29" t="str">
        <f>IF(LEN(A831)&gt;0,B831*C831,"")</f>
      </c>
    </row>
    <row r="832" ht="15" customHeight="1" s="4" customFormat="1">
      <c r="A832" s="4" t="str">
        <f>IF(LEN('Open Positions'!B830)&gt;0,'Open Positions'!B830,"")</f>
      </c>
      <c r="B832" s="4" t="str">
        <f>IF(LEN('CALC'!A832)&gt;0,'Open Positions'!F830,"")</f>
      </c>
      <c r="C832" s="39" t="str">
        <f>IF(LEN(A832)&gt;0,'Open Positions'!Q830,"")</f>
      </c>
      <c r="D832" s="29" t="str">
        <f>IF(LEN(A832)&gt;0,B832*C832,"")</f>
      </c>
    </row>
    <row r="833" ht="15" customHeight="1" s="4" customFormat="1">
      <c r="A833" s="4" t="str">
        <f>IF(LEN('Open Positions'!B831)&gt;0,'Open Positions'!B831,"")</f>
      </c>
      <c r="B833" s="4" t="str">
        <f>IF(LEN('CALC'!A833)&gt;0,'Open Positions'!F831,"")</f>
      </c>
      <c r="C833" s="39" t="str">
        <f>IF(LEN(A833)&gt;0,'Open Positions'!Q831,"")</f>
      </c>
      <c r="D833" s="29" t="str">
        <f>IF(LEN(A833)&gt;0,B833*C833,"")</f>
      </c>
    </row>
    <row r="834" ht="15" customHeight="1" s="4" customFormat="1">
      <c r="A834" s="4" t="str">
        <f>IF(LEN('Open Positions'!B832)&gt;0,'Open Positions'!B832,"")</f>
      </c>
      <c r="B834" s="4" t="str">
        <f>IF(LEN('CALC'!A834)&gt;0,'Open Positions'!F832,"")</f>
      </c>
      <c r="C834" s="39" t="str">
        <f>IF(LEN(A834)&gt;0,'Open Positions'!Q832,"")</f>
      </c>
      <c r="D834" s="29" t="str">
        <f>IF(LEN(A834)&gt;0,B834*C834,"")</f>
      </c>
    </row>
    <row r="835" ht="15" customHeight="1" s="4" customFormat="1">
      <c r="A835" s="4" t="str">
        <f>IF(LEN('Open Positions'!B833)&gt;0,'Open Positions'!B833,"")</f>
      </c>
      <c r="B835" s="4" t="str">
        <f>IF(LEN('CALC'!A835)&gt;0,'Open Positions'!F833,"")</f>
      </c>
      <c r="C835" s="39" t="str">
        <f>IF(LEN(A835)&gt;0,'Open Positions'!Q833,"")</f>
      </c>
      <c r="D835" s="29" t="str">
        <f>IF(LEN(A835)&gt;0,B835*C835,"")</f>
      </c>
    </row>
    <row r="836" ht="15" customHeight="1" s="4" customFormat="1">
      <c r="A836" s="4" t="str">
        <f>IF(LEN('Open Positions'!B834)&gt;0,'Open Positions'!B834,"")</f>
      </c>
      <c r="B836" s="4" t="str">
        <f>IF(LEN('CALC'!A836)&gt;0,'Open Positions'!F834,"")</f>
      </c>
      <c r="C836" s="39" t="str">
        <f>IF(LEN(A836)&gt;0,'Open Positions'!Q834,"")</f>
      </c>
      <c r="D836" s="29" t="str">
        <f>IF(LEN(A836)&gt;0,B836*C836,"")</f>
      </c>
    </row>
    <row r="837" ht="15" customHeight="1" s="4" customFormat="1">
      <c r="A837" s="4" t="str">
        <f>IF(LEN('Open Positions'!B835)&gt;0,'Open Positions'!B835,"")</f>
      </c>
      <c r="B837" s="4" t="str">
        <f>IF(LEN('CALC'!A837)&gt;0,'Open Positions'!F835,"")</f>
      </c>
      <c r="C837" s="39" t="str">
        <f>IF(LEN(A837)&gt;0,'Open Positions'!Q835,"")</f>
      </c>
      <c r="D837" s="29" t="str">
        <f>IF(LEN(A837)&gt;0,B837*C837,"")</f>
      </c>
    </row>
    <row r="838" ht="15" customHeight="1" s="4" customFormat="1">
      <c r="A838" s="4" t="str">
        <f>IF(LEN('Open Positions'!B836)&gt;0,'Open Positions'!B836,"")</f>
      </c>
      <c r="B838" s="4" t="str">
        <f>IF(LEN('CALC'!A838)&gt;0,'Open Positions'!F836,"")</f>
      </c>
      <c r="C838" s="39" t="str">
        <f>IF(LEN(A838)&gt;0,'Open Positions'!Q836,"")</f>
      </c>
      <c r="D838" s="29" t="str">
        <f>IF(LEN(A838)&gt;0,B838*C838,"")</f>
      </c>
    </row>
    <row r="839" ht="15" customHeight="1" s="4" customFormat="1">
      <c r="A839" s="4" t="str">
        <f>IF(LEN('Open Positions'!B837)&gt;0,'Open Positions'!B837,"")</f>
      </c>
      <c r="B839" s="4" t="str">
        <f>IF(LEN('CALC'!A839)&gt;0,'Open Positions'!F837,"")</f>
      </c>
      <c r="C839" s="39" t="str">
        <f>IF(LEN(A839)&gt;0,'Open Positions'!Q837,"")</f>
      </c>
      <c r="D839" s="29" t="str">
        <f>IF(LEN(A839)&gt;0,B839*C839,"")</f>
      </c>
    </row>
    <row r="840" ht="15" customHeight="1" s="4" customFormat="1">
      <c r="A840" s="4" t="str">
        <f>IF(LEN('Open Positions'!B838)&gt;0,'Open Positions'!B838,"")</f>
      </c>
      <c r="B840" s="4" t="str">
        <f>IF(LEN('CALC'!A840)&gt;0,'Open Positions'!F838,"")</f>
      </c>
      <c r="C840" s="39" t="str">
        <f>IF(LEN(A840)&gt;0,'Open Positions'!Q838,"")</f>
      </c>
      <c r="D840" s="29" t="str">
        <f>IF(LEN(A840)&gt;0,B840*C840,"")</f>
      </c>
    </row>
    <row r="841" ht="15" customHeight="1" s="4" customFormat="1">
      <c r="A841" s="4" t="str">
        <f>IF(LEN('Open Positions'!B839)&gt;0,'Open Positions'!B839,"")</f>
      </c>
      <c r="B841" s="4" t="str">
        <f>IF(LEN('CALC'!A841)&gt;0,'Open Positions'!F839,"")</f>
      </c>
      <c r="C841" s="39" t="str">
        <f>IF(LEN(A841)&gt;0,'Open Positions'!Q839,"")</f>
      </c>
      <c r="D841" s="29" t="str">
        <f>IF(LEN(A841)&gt;0,B841*C841,"")</f>
      </c>
    </row>
    <row r="842" ht="15" customHeight="1" s="4" customFormat="1">
      <c r="A842" s="4" t="str">
        <f>IF(LEN('Open Positions'!B840)&gt;0,'Open Positions'!B840,"")</f>
      </c>
      <c r="B842" s="4" t="str">
        <f>IF(LEN('CALC'!A842)&gt;0,'Open Positions'!F840,"")</f>
      </c>
      <c r="C842" s="39" t="str">
        <f>IF(LEN(A842)&gt;0,'Open Positions'!Q840,"")</f>
      </c>
      <c r="D842" s="29" t="str">
        <f>IF(LEN(A842)&gt;0,B842*C842,"")</f>
      </c>
    </row>
    <row r="843" ht="15" customHeight="1" s="4" customFormat="1">
      <c r="A843" s="4" t="str">
        <f>IF(LEN('Open Positions'!B841)&gt;0,'Open Positions'!B841,"")</f>
      </c>
      <c r="B843" s="4" t="str">
        <f>IF(LEN('CALC'!A843)&gt;0,'Open Positions'!F841,"")</f>
      </c>
      <c r="C843" s="39" t="str">
        <f>IF(LEN(A843)&gt;0,'Open Positions'!Q841,"")</f>
      </c>
      <c r="D843" s="29" t="str">
        <f>IF(LEN(A843)&gt;0,B843*C843,"")</f>
      </c>
    </row>
    <row r="844" ht="15" customHeight="1" s="4" customFormat="1">
      <c r="A844" s="4" t="str">
        <f>IF(LEN('Open Positions'!B842)&gt;0,'Open Positions'!B842,"")</f>
      </c>
      <c r="B844" s="4" t="str">
        <f>IF(LEN('CALC'!A844)&gt;0,'Open Positions'!F842,"")</f>
      </c>
      <c r="C844" s="39" t="str">
        <f>IF(LEN(A844)&gt;0,'Open Positions'!Q842,"")</f>
      </c>
      <c r="D844" s="29" t="str">
        <f>IF(LEN(A844)&gt;0,B844*C844,"")</f>
      </c>
    </row>
    <row r="845" ht="15" customHeight="1" s="4" customFormat="1">
      <c r="A845" s="4" t="str">
        <f>IF(LEN('Open Positions'!B843)&gt;0,'Open Positions'!B843,"")</f>
      </c>
      <c r="B845" s="4" t="str">
        <f>IF(LEN('CALC'!A845)&gt;0,'Open Positions'!F843,"")</f>
      </c>
      <c r="C845" s="39" t="str">
        <f>IF(LEN(A845)&gt;0,'Open Positions'!Q843,"")</f>
      </c>
      <c r="D845" s="29" t="str">
        <f>IF(LEN(A845)&gt;0,B845*C845,"")</f>
      </c>
    </row>
    <row r="846" ht="15" customHeight="1" s="4" customFormat="1">
      <c r="A846" s="4" t="str">
        <f>IF(LEN('Open Positions'!B844)&gt;0,'Open Positions'!B844,"")</f>
      </c>
      <c r="B846" s="4" t="str">
        <f>IF(LEN('CALC'!A846)&gt;0,'Open Positions'!F844,"")</f>
      </c>
      <c r="C846" s="39" t="str">
        <f>IF(LEN(A846)&gt;0,'Open Positions'!Q844,"")</f>
      </c>
      <c r="D846" s="29" t="str">
        <f>IF(LEN(A846)&gt;0,B846*C846,"")</f>
      </c>
    </row>
    <row r="847" ht="15" customHeight="1" s="4" customFormat="1">
      <c r="A847" s="4" t="str">
        <f>IF(LEN('Open Positions'!B845)&gt;0,'Open Positions'!B845,"")</f>
      </c>
      <c r="B847" s="4" t="str">
        <f>IF(LEN('CALC'!A847)&gt;0,'Open Positions'!F845,"")</f>
      </c>
      <c r="C847" s="39" t="str">
        <f>IF(LEN(A847)&gt;0,'Open Positions'!Q845,"")</f>
      </c>
      <c r="D847" s="29" t="str">
        <f>IF(LEN(A847)&gt;0,B847*C847,"")</f>
      </c>
    </row>
    <row r="848" ht="15" customHeight="1" s="4" customFormat="1">
      <c r="A848" s="4" t="str">
        <f>IF(LEN('Open Positions'!B846)&gt;0,'Open Positions'!B846,"")</f>
      </c>
      <c r="B848" s="4" t="str">
        <f>IF(LEN('CALC'!A848)&gt;0,'Open Positions'!F846,"")</f>
      </c>
      <c r="C848" s="39" t="str">
        <f>IF(LEN(A848)&gt;0,'Open Positions'!Q846,"")</f>
      </c>
      <c r="D848" s="29" t="str">
        <f>IF(LEN(A848)&gt;0,B848*C848,"")</f>
      </c>
    </row>
    <row r="849" ht="15" customHeight="1" s="4" customFormat="1">
      <c r="A849" s="4" t="str">
        <f>IF(LEN('Open Positions'!B847)&gt;0,'Open Positions'!B847,"")</f>
      </c>
      <c r="B849" s="4" t="str">
        <f>IF(LEN('CALC'!A849)&gt;0,'Open Positions'!F847,"")</f>
      </c>
      <c r="C849" s="39" t="str">
        <f>IF(LEN(A849)&gt;0,'Open Positions'!Q847,"")</f>
      </c>
      <c r="D849" s="29" t="str">
        <f>IF(LEN(A849)&gt;0,B849*C849,"")</f>
      </c>
    </row>
    <row r="850" ht="15" customHeight="1" s="4" customFormat="1">
      <c r="A850" s="4" t="str">
        <f>IF(LEN('Open Positions'!B848)&gt;0,'Open Positions'!B848,"")</f>
      </c>
      <c r="B850" s="4" t="str">
        <f>IF(LEN('CALC'!A850)&gt;0,'Open Positions'!F848,"")</f>
      </c>
      <c r="C850" s="39" t="str">
        <f>IF(LEN(A850)&gt;0,'Open Positions'!Q848,"")</f>
      </c>
      <c r="D850" s="29" t="str">
        <f>IF(LEN(A850)&gt;0,B850*C850,"")</f>
      </c>
    </row>
    <row r="851" ht="15" customHeight="1" s="4" customFormat="1">
      <c r="A851" s="4" t="str">
        <f>IF(LEN('Open Positions'!B849)&gt;0,'Open Positions'!B849,"")</f>
      </c>
      <c r="B851" s="4" t="str">
        <f>IF(LEN('CALC'!A851)&gt;0,'Open Positions'!F849,"")</f>
      </c>
      <c r="C851" s="39" t="str">
        <f>IF(LEN(A851)&gt;0,'Open Positions'!Q849,"")</f>
      </c>
      <c r="D851" s="29" t="str">
        <f>IF(LEN(A851)&gt;0,B851*C851,"")</f>
      </c>
    </row>
    <row r="852" ht="15" customHeight="1" s="4" customFormat="1">
      <c r="A852" s="4" t="str">
        <f>IF(LEN('Open Positions'!B850)&gt;0,'Open Positions'!B850,"")</f>
      </c>
      <c r="B852" s="4" t="str">
        <f>IF(LEN('CALC'!A852)&gt;0,'Open Positions'!F850,"")</f>
      </c>
      <c r="C852" s="39" t="str">
        <f>IF(LEN(A852)&gt;0,'Open Positions'!Q850,"")</f>
      </c>
      <c r="D852" s="29" t="str">
        <f>IF(LEN(A852)&gt;0,B852*C852,"")</f>
      </c>
    </row>
    <row r="853" ht="15" customHeight="1" s="4" customFormat="1">
      <c r="A853" s="4" t="str">
        <f>IF(LEN('Open Positions'!B851)&gt;0,'Open Positions'!B851,"")</f>
      </c>
      <c r="B853" s="4" t="str">
        <f>IF(LEN('CALC'!A853)&gt;0,'Open Positions'!F851,"")</f>
      </c>
      <c r="C853" s="39" t="str">
        <f>IF(LEN(A853)&gt;0,'Open Positions'!Q851,"")</f>
      </c>
      <c r="D853" s="29" t="str">
        <f>IF(LEN(A853)&gt;0,B853*C853,"")</f>
      </c>
    </row>
    <row r="854" ht="15" customHeight="1" s="4" customFormat="1">
      <c r="A854" s="4" t="str">
        <f>IF(LEN('Open Positions'!B852)&gt;0,'Open Positions'!B852,"")</f>
      </c>
      <c r="B854" s="4" t="str">
        <f>IF(LEN('CALC'!A854)&gt;0,'Open Positions'!F852,"")</f>
      </c>
      <c r="C854" s="39" t="str">
        <f>IF(LEN(A854)&gt;0,'Open Positions'!Q852,"")</f>
      </c>
      <c r="D854" s="29" t="str">
        <f>IF(LEN(A854)&gt;0,B854*C854,"")</f>
      </c>
    </row>
    <row r="855" ht="15" customHeight="1" s="4" customFormat="1">
      <c r="A855" s="4" t="str">
        <f>IF(LEN('Open Positions'!B853)&gt;0,'Open Positions'!B853,"")</f>
      </c>
      <c r="B855" s="4" t="str">
        <f>IF(LEN('CALC'!A855)&gt;0,'Open Positions'!F853,"")</f>
      </c>
      <c r="C855" s="39" t="str">
        <f>IF(LEN(A855)&gt;0,'Open Positions'!Q853,"")</f>
      </c>
      <c r="D855" s="29" t="str">
        <f>IF(LEN(A855)&gt;0,B855*C855,"")</f>
      </c>
    </row>
    <row r="856" ht="15" customHeight="1" s="4" customFormat="1">
      <c r="A856" s="4" t="str">
        <f>IF(LEN('Open Positions'!B854)&gt;0,'Open Positions'!B854,"")</f>
      </c>
      <c r="B856" s="4" t="str">
        <f>IF(LEN('CALC'!A856)&gt;0,'Open Positions'!F854,"")</f>
      </c>
      <c r="C856" s="39" t="str">
        <f>IF(LEN(A856)&gt;0,'Open Positions'!Q854,"")</f>
      </c>
      <c r="D856" s="29" t="str">
        <f>IF(LEN(A856)&gt;0,B856*C856,"")</f>
      </c>
    </row>
    <row r="857" ht="15" customHeight="1" s="4" customFormat="1">
      <c r="A857" s="4" t="str">
        <f>IF(LEN('Open Positions'!B855)&gt;0,'Open Positions'!B855,"")</f>
      </c>
      <c r="B857" s="4" t="str">
        <f>IF(LEN('CALC'!A857)&gt;0,'Open Positions'!F855,"")</f>
      </c>
      <c r="C857" s="39" t="str">
        <f>IF(LEN(A857)&gt;0,'Open Positions'!Q855,"")</f>
      </c>
      <c r="D857" s="29" t="str">
        <f>IF(LEN(A857)&gt;0,B857*C857,"")</f>
      </c>
    </row>
    <row r="858" ht="15" customHeight="1" s="4" customFormat="1">
      <c r="A858" s="4" t="str">
        <f>IF(LEN('Open Positions'!B856)&gt;0,'Open Positions'!B856,"")</f>
      </c>
      <c r="B858" s="4" t="str">
        <f>IF(LEN('CALC'!A858)&gt;0,'Open Positions'!F856,"")</f>
      </c>
      <c r="C858" s="39" t="str">
        <f>IF(LEN(A858)&gt;0,'Open Positions'!Q856,"")</f>
      </c>
      <c r="D858" s="29" t="str">
        <f>IF(LEN(A858)&gt;0,B858*C858,"")</f>
      </c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E93A86-AE0F-4824-99CF-76380A452089}">
  <sheetPr codeName="Sheet6"/>
  <dimension ref="A1:AD18"/>
  <sheetViews>
    <sheetView topLeftCell="Q1" workbookViewId="0">
      <selection activeCell="X18" sqref="X18"/>
    </sheetView>
  </sheetViews>
  <sheetFormatPr defaultRowHeight="14.4" x14ac:dyDescent="0.3"/>
  <cols>
    <col min="1" max="1" bestFit="1" width="12.33203125" customWidth="1" style="4"/>
    <col min="2" max="2" bestFit="1" width="8.109375" customWidth="1" style="4"/>
    <col min="3" max="3" bestFit="1" width="15" customWidth="1" style="4"/>
    <col min="4" max="4" bestFit="1" width="12.5546875" customWidth="1" style="4"/>
    <col min="5" max="5" bestFit="1" width="16.33203125" customWidth="1" style="4"/>
    <col min="6" max="6" bestFit="1" width="14.33203125" customWidth="1" style="4"/>
    <col min="7" max="7" bestFit="1" width="15" customWidth="1" style="4"/>
    <col min="8" max="8" bestFit="1" width="21.88671875" customWidth="1" style="4"/>
    <col min="9" max="9" bestFit="1" width="16.109375" customWidth="1" style="4"/>
    <col min="10" max="10" bestFit="1" width="15" customWidth="1" style="18"/>
    <col min="11" max="11" bestFit="1" width="9" customWidth="1" style="4"/>
    <col min="12" max="12" bestFit="1" width="30.44140625" customWidth="1" style="4"/>
    <col min="13" max="13" bestFit="1" width="23.44140625" customWidth="1" style="4"/>
    <col min="14" max="14" bestFit="1" width="12.88671875" customWidth="1" style="4"/>
    <col min="15" max="15" bestFit="1" width="16.33203125" customWidth="1" style="4"/>
    <col min="16" max="16" width="14.109375" customWidth="1" style="4"/>
    <col min="17" max="17" bestFit="1" width="15.44140625" customWidth="1" style="4"/>
    <col min="18" max="18" bestFit="1" width="16.109375" customWidth="1" style="4"/>
    <col min="19" max="19" bestFit="1" width="13.5546875" customWidth="1" style="19"/>
    <col min="20" max="20" width="9.140625" customWidth="1"/>
    <col min="21" max="21" bestFit="1" width="31.33203125" customWidth="1" style="4"/>
    <col min="22" max="22" width="26.6640625" customWidth="1" style="4"/>
    <col min="23" max="23" bestFit="1" width="31.33203125" customWidth="1" style="4"/>
    <col min="24" max="24" width="29" customWidth="1" style="4"/>
    <col min="25" max="25" bestFit="1" width="48.109375" customWidth="1" style="4"/>
    <col min="26" max="26" width="25.33203125" customWidth="1" style="4"/>
    <col min="27" max="27" bestFit="1" width="13.44140625" customWidth="1" style="4"/>
    <col min="28" max="28" bestFit="1" width="15" customWidth="1" style="4"/>
    <col min="29" max="29" bestFit="1" width="11.33203125" customWidth="1" style="4"/>
    <col min="30" max="30" bestFit="1" width="12.5546875" customWidth="1" style="4"/>
  </cols>
  <sheetData>
    <row r="1" ht="15" customHeight="1" s="4" customFormat="1">
      <c r="A1" s="40">
        <f>TODAY()</f>
        <v>45819</v>
      </c>
      <c r="J1" s="18" t="s">
        <v>81</v>
      </c>
    </row>
    <row r="2" ht="90" customHeight="1" s="4" customFormat="1">
      <c r="A2" s="4" t="s">
        <v>60</v>
      </c>
      <c r="C2" s="20" t="s">
        <v>61</v>
      </c>
      <c r="D2" s="21" t="s">
        <v>62</v>
      </c>
      <c r="E2" s="22" t="s">
        <v>63</v>
      </c>
      <c r="F2" s="23" t="s">
        <v>64</v>
      </c>
      <c r="G2" s="21" t="s">
        <v>65</v>
      </c>
      <c r="H2" s="21" t="s">
        <v>66</v>
      </c>
      <c r="I2" s="24" t="s">
        <v>67</v>
      </c>
      <c r="J2" s="25" t="s">
        <v>68</v>
      </c>
      <c r="K2" s="4" t="s">
        <v>69</v>
      </c>
      <c r="L2" s="20" t="s">
        <v>61</v>
      </c>
      <c r="M2" s="21" t="s">
        <v>62</v>
      </c>
      <c r="N2" s="22" t="s">
        <v>63</v>
      </c>
      <c r="O2" s="23" t="s">
        <v>64</v>
      </c>
      <c r="P2" s="21" t="s">
        <v>65</v>
      </c>
      <c r="Q2" s="21" t="s">
        <v>66</v>
      </c>
      <c r="R2" s="24" t="s">
        <v>67</v>
      </c>
      <c r="S2" s="25" t="s">
        <v>68</v>
      </c>
      <c r="U2" s="4" t="s">
        <v>82</v>
      </c>
      <c r="Y2" s="16" t="s">
        <v>83</v>
      </c>
    </row>
    <row r="3" ht="15.6" customHeight="1" s="4" customFormat="1">
      <c r="A3" s="26">
        <f>WORKDAY($A$1,-1,'HOLIDAYS'!$A:$A)</f>
        <v>45818</v>
      </c>
      <c r="B3" s="27" t="s">
        <v>70</v>
      </c>
      <c r="C3" s="28" t="e">
        <f>VLOOKUP(($A$3)-1,'VM HISTORY '!$A:$J,8,0)</f>
        <v>#N/A</v>
      </c>
      <c r="D3" s="29">
        <f>(SUMIF('Confirmed Trades'!$B:$B,'VM'!$A$1,'Confirmed Trades'!$P:$P))+SUMIF('Confirmed Trades'!$B:$B,'VM'!$A$1,'Confirmed Trades'!$Q:$Q)</f>
        <v>0</v>
      </c>
      <c r="E3" s="29">
        <f>SUMIF('Purchase&amp;Sales'!$C:$C,'VM'!$A$1,'Purchase&amp;Sales'!$P:$P)</f>
        <v>0</v>
      </c>
      <c r="F3" s="30">
        <f>SUM(D3:E3)</f>
        <v>0</v>
      </c>
      <c r="G3" s="28" t="e">
        <f>-VLOOKUP(($A$3)-1,'VM HISTORY '!$A:$J,10,0)</f>
        <v>#N/A</v>
      </c>
      <c r="H3" s="29" t="e">
        <f>SUM(C3+F3+G3)</f>
        <v>#N/A</v>
      </c>
      <c r="I3" s="28" t="e">
        <f>'CALC'!$N$5</f>
        <v>#NAME?</v>
      </c>
      <c r="J3" s="31" t="e">
        <f>SUM(H3:I3)</f>
        <v>#N/A</v>
      </c>
      <c r="K3" s="27" t="s">
        <v>71</v>
      </c>
      <c r="L3" s="28" t="e">
        <f>VLOOKUP(($A$3)-1,'VM HISTORY '!$A:$Q,17,0)</f>
        <v>#N/A</v>
      </c>
      <c r="M3" s="29">
        <f>(SUMIF('Confirmed Trades'!$B:$B,'VM'!$K$1,'Confirmed Trades'!$P:$P))+SUMIF('Confirmed Trades'!$B:$B,'VM'!$K$1,'Confirmed Trades'!$Q:$Q)</f>
        <v>0</v>
      </c>
      <c r="N3" s="29">
        <f>SUMIF('Purchase&amp;Sales'!$C:$C,'VM'!$K$1,'Purchase&amp;Sales'!$Q:$Q)</f>
        <v>0</v>
      </c>
      <c r="O3" s="28">
        <f>SUM(M3:N3)</f>
        <v>0</v>
      </c>
      <c r="P3" s="28" t="e">
        <f>-VLOOKUP(($A$3)-1,'VM HISTORY '!$A:$S,19,0)</f>
        <v>#N/A</v>
      </c>
      <c r="Q3" s="29" t="e">
        <f>SUM(L3+O3+P3)</f>
        <v>#N/A</v>
      </c>
      <c r="R3" s="28" t="e">
        <f>'CALC'!$R$5</f>
        <v>#NAME?</v>
      </c>
      <c r="S3" s="31" t="e">
        <f>SUM(Q3:R3)</f>
        <v>#N/A</v>
      </c>
      <c r="U3" s="41" t="s">
        <v>84</v>
      </c>
      <c r="V3" s="42"/>
      <c r="W3" s="42"/>
      <c r="Y3" s="43" t="s">
        <v>85</v>
      </c>
    </row>
    <row r="4" ht="15.6" customHeight="1" s="4" customFormat="1">
      <c r="U4" s="42" t="s">
        <v>70</v>
      </c>
      <c r="V4" s="44" t="e">
        <f>J3</f>
        <v>#N/A</v>
      </c>
      <c r="W4" s="42" t="e">
        <f>IF(V4&gt;0,"RECEIVES","PAYS")</f>
        <v>#N/A</v>
      </c>
      <c r="Y4" s="45" t="e">
        <f>"VPIE (001 02702) – NYLI "&amp;W4&amp;" "&amp;DOLLAR(Z4)</f>
        <v>#N/A</v>
      </c>
      <c r="Z4" s="28" t="e">
        <f>J3</f>
        <v>#N/A</v>
      </c>
      <c r="AB4" s="28"/>
      <c r="AD4" s="28"/>
    </row>
    <row r="5" ht="15.6" customHeight="1" s="4" customFormat="1">
      <c r="U5" s="42" t="str">
        <f>K3</f>
        <v>MAINSP</v>
      </c>
      <c r="V5" s="44" t="e">
        <f>S3</f>
        <v>#N/A</v>
      </c>
      <c r="W5" s="42" t="e">
        <f>IF(V5&gt;0,"RECEIVES","PAYS")</f>
        <v>#N/A</v>
      </c>
      <c r="Y5" s="45" t="e">
        <f>"MAINSP (001 02703) – NYLI "&amp;W5&amp;" "&amp;DOLLAR(Z5)</f>
        <v>#N/A</v>
      </c>
      <c r="Z5" s="28" t="e">
        <f>S3</f>
        <v>#N/A</v>
      </c>
      <c r="AB5" s="28"/>
      <c r="AD5" s="28"/>
    </row>
    <row r="6" ht="15" customHeight="1" s="4" customFormat="1">
      <c r="A6" s="46" t="s">
        <v>86</v>
      </c>
      <c r="B6" s="47"/>
      <c r="C6" s="47"/>
      <c r="H6" s="48" t="s">
        <v>87</v>
      </c>
    </row>
    <row r="7" ht="15" customHeight="1" s="4" customFormat="1">
      <c r="A7" s="4">
        <f>WORKDAY($A$1,-1,'HOLIDAYS'!$A:$A)</f>
        <v>45818</v>
      </c>
      <c r="B7" s="4" t="s">
        <v>88</v>
      </c>
      <c r="D7" s="49"/>
    </row>
    <row r="8" ht="15" customHeight="1" s="4" customFormat="1">
      <c r="D8" s="29"/>
    </row>
    <row r="9" ht="15" customHeight="1" s="4" customFormat="1">
      <c r="A9" s="50" t="s">
        <v>89</v>
      </c>
      <c r="B9" s="51"/>
      <c r="C9" s="52"/>
      <c r="D9" s="51"/>
      <c r="E9" s="51"/>
      <c r="F9" s="51"/>
      <c r="U9" s="53" t="s">
        <v>3</v>
      </c>
      <c r="V9" s="53" t="s">
        <v>90</v>
      </c>
      <c r="W9" s="54" t="s">
        <v>91</v>
      </c>
      <c r="X9" s="54" t="s">
        <v>92</v>
      </c>
      <c r="Y9" s="54" t="s">
        <v>93</v>
      </c>
    </row>
    <row r="10" ht="15.6" customHeight="1" s="4" customFormat="1">
      <c r="C10" s="29"/>
      <c r="U10" s="55" t="s">
        <v>70</v>
      </c>
      <c r="V10" s="55">
        <v>102702</v>
      </c>
      <c r="W10" s="56" t="e">
        <f>VLOOKUP(V10,'Intial Margin'!$B$2:$P$3,15,0)</f>
        <v>#N/A</v>
      </c>
      <c r="X10" s="56" t="e">
        <f>VLOOKUP(V10,'Intial Margin'!$B$2:$M$3,12,0)</f>
        <v>#N/A</v>
      </c>
      <c r="Y10" s="56" t="e">
        <f>W10-X10</f>
        <v>#N/A</v>
      </c>
    </row>
    <row r="11" ht="15.6" customHeight="1" s="4" customFormat="1">
      <c r="U11" s="55" t="s">
        <v>71</v>
      </c>
      <c r="V11" s="55">
        <v>102703</v>
      </c>
      <c r="W11" s="56" t="e">
        <f>VLOOKUP(V11,'Intial Margin'!$B$2:$P$3,15,0)</f>
        <v>#N/A</v>
      </c>
      <c r="X11" s="56" t="e">
        <f>VLOOKUP(V11,'Intial Margin'!$B$2:$M$3,12,0)</f>
        <v>#N/A</v>
      </c>
      <c r="Y11" s="56" t="e">
        <f>W11-X11</f>
        <v>#N/A</v>
      </c>
    </row>
    <row r="12" ht="15" customHeight="1" s="4" customFormat="1">
      <c r="AC12" s="28"/>
    </row>
    <row r="13" ht="15" customHeight="1" s="4" customFormat="1">
      <c r="AC13" s="28"/>
    </row>
    <row r="14"/>
    <row r="15"/>
    <row r="16" ht="15" customHeight="1" s="4" customFormat="1">
      <c r="R16" s="28"/>
    </row>
    <row r="17" ht="15" customHeight="1" s="4" customFormat="1">
      <c r="I17" s="28"/>
    </row>
    <row r="18" ht="15" customHeight="1" s="4" customFormat="1">
      <c r="F18" s="57"/>
    </row>
  </sheetData>
  <pageMargins left="0.7" right="0.7" top="0.75" bottom="0.75" header="0.3" footer="0.3"/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4D718-93E9-4341-8FE2-B87A6CBB700B}">
  <sheetPr codeName="Sheet8"/>
  <dimension ref="A1:AE369"/>
  <sheetViews>
    <sheetView workbookViewId="0">
      <pane ySplit="2" topLeftCell="A342" activePane="bottomLeft" state="frozen"/>
      <selection pane="bottomLeft" activeCell="G372" sqref="G372"/>
    </sheetView>
  </sheetViews>
  <sheetFormatPr defaultRowHeight="14.4" x14ac:dyDescent="0.3"/>
  <cols>
    <col min="1" max="1" bestFit="1" width="12.33203125" customWidth="1" style="4"/>
    <col min="2" max="2" bestFit="1" width="8.109375" customWidth="1" style="4"/>
    <col min="3" max="3" width="14.5546875" customWidth="1" style="4"/>
    <col min="4" max="4" bestFit="1" width="11.33203125" customWidth="1" style="4"/>
    <col min="5" max="5" bestFit="1" width="16.33203125" customWidth="1" style="4"/>
    <col min="6" max="6" bestFit="1" width="14.33203125" customWidth="1" style="4"/>
    <col min="7" max="7" width="14.6640625" customWidth="1" style="4"/>
    <col min="8" max="8" bestFit="1" width="21.88671875" customWidth="1" style="4"/>
    <col min="9" max="9" bestFit="1" width="16.109375" customWidth="1" style="4"/>
    <col min="10" max="10" bestFit="1" width="15" customWidth="1" style="18"/>
    <col min="11" max="11" bestFit="1" width="8.109375" customWidth="1" style="4"/>
    <col min="12" max="12" bestFit="1" width="30.44140625" customWidth="1" style="4"/>
    <col min="13" max="13" bestFit="1" width="23.44140625" customWidth="1" style="4"/>
    <col min="14" max="14" width="14.88671875" customWidth="1" style="4"/>
    <col min="15" max="15" bestFit="1" width="16.33203125" customWidth="1" style="4"/>
    <col min="16" max="16" width="14.88671875" customWidth="1" style="4"/>
    <col min="17" max="17" bestFit="1" width="15.44140625" customWidth="1" style="4"/>
    <col min="18" max="18" bestFit="1" width="16.109375" customWidth="1" style="4"/>
    <col min="19" max="19" bestFit="1" width="13.5546875" customWidth="1" style="19"/>
    <col min="20" max="20" width="9.140625" customWidth="1"/>
    <col min="21" max="21" width="9.140625" customWidth="1"/>
    <col min="22" max="22" width="9.140625" customWidth="1"/>
    <col min="23" max="23" width="9.140625" customWidth="1"/>
    <col min="24" max="24" width="9.140625" customWidth="1"/>
    <col min="25" max="25" width="9.140625" customWidth="1"/>
    <col min="26" max="26" width="9.140625" customWidth="1"/>
    <col min="27" max="27" width="9.140625" customWidth="1"/>
    <col min="28" max="28" width="9.140625" customWidth="1"/>
    <col min="29" max="29" width="9.140625" customWidth="1"/>
    <col min="30" max="30" width="9.140625" customWidth="1"/>
    <col min="31" max="31" width="9.140625" customWidth="1"/>
  </cols>
  <sheetData>
    <row r="1" ht="15" customHeight="1" s="4" customFormat="1">
      <c r="A1" s="4" t="s">
        <v>94</v>
      </c>
      <c r="B1" s="4" t="s">
        <v>95</v>
      </c>
      <c r="F1" s="58" t="s">
        <v>96</v>
      </c>
      <c r="G1" s="4" t="s">
        <v>97</v>
      </c>
      <c r="L1" s="58" t="s">
        <v>98</v>
      </c>
      <c r="M1" s="4" t="s">
        <v>99</v>
      </c>
      <c r="T1" s="4" t="s">
        <v>100</v>
      </c>
    </row>
    <row r="2" ht="72.6" customHeight="1" s="4" customFormat="1">
      <c r="A2" s="4" t="s">
        <v>60</v>
      </c>
      <c r="C2" s="20" t="s">
        <v>61</v>
      </c>
      <c r="D2" s="21" t="s">
        <v>62</v>
      </c>
      <c r="E2" s="22" t="s">
        <v>63</v>
      </c>
      <c r="F2" s="23" t="s">
        <v>64</v>
      </c>
      <c r="G2" s="21" t="s">
        <v>65</v>
      </c>
      <c r="H2" s="21" t="s">
        <v>66</v>
      </c>
      <c r="I2" s="24" t="s">
        <v>67</v>
      </c>
      <c r="J2" s="25" t="s">
        <v>68</v>
      </c>
      <c r="K2" s="4" t="s">
        <v>69</v>
      </c>
      <c r="L2" s="20" t="s">
        <v>61</v>
      </c>
      <c r="M2" s="21" t="s">
        <v>62</v>
      </c>
      <c r="N2" s="22" t="s">
        <v>63</v>
      </c>
      <c r="O2" s="23" t="s">
        <v>64</v>
      </c>
      <c r="P2" s="21" t="s">
        <v>65</v>
      </c>
      <c r="Q2" s="21" t="s">
        <v>66</v>
      </c>
      <c r="R2" s="24" t="s">
        <v>67</v>
      </c>
      <c r="S2" s="25" t="s">
        <v>68</v>
      </c>
    </row>
    <row r="3" ht="15" customHeight="1" s="4" customFormat="1">
      <c r="A3" s="26"/>
      <c r="B3" s="27"/>
      <c r="C3" s="28"/>
      <c r="D3" s="29"/>
      <c r="E3" s="29"/>
      <c r="F3" s="30"/>
      <c r="G3" s="28"/>
      <c r="H3" s="29"/>
      <c r="I3" s="28"/>
      <c r="J3" s="31"/>
      <c r="K3" s="27"/>
      <c r="L3" s="28"/>
      <c r="M3" s="29"/>
      <c r="N3" s="29"/>
      <c r="O3" s="30"/>
      <c r="P3" s="28"/>
      <c r="Q3" s="29"/>
      <c r="R3" s="28"/>
      <c r="S3" s="31"/>
    </row>
    <row r="4" ht="15" customHeight="1" s="4" customFormat="1">
      <c r="A4" s="26"/>
      <c r="B4" s="27"/>
      <c r="C4" s="28"/>
      <c r="D4" s="29"/>
      <c r="E4" s="29"/>
      <c r="F4" s="30"/>
      <c r="G4" s="28"/>
      <c r="H4" s="29"/>
      <c r="I4" s="28"/>
      <c r="J4" s="31"/>
      <c r="K4" s="27"/>
      <c r="L4" s="28"/>
      <c r="M4" s="29"/>
      <c r="N4" s="29"/>
      <c r="O4" s="28"/>
      <c r="P4" s="28"/>
      <c r="Q4" s="29"/>
      <c r="R4" s="28"/>
      <c r="S4" s="31"/>
    </row>
    <row r="5" ht="15" customHeight="1" s="4" customFormat="1">
      <c r="A5" s="26"/>
      <c r="B5" s="27"/>
      <c r="C5" s="28"/>
      <c r="D5" s="29"/>
      <c r="E5" s="29"/>
      <c r="F5" s="30"/>
      <c r="G5" s="28"/>
      <c r="H5" s="29"/>
      <c r="I5" s="28"/>
      <c r="J5" s="31"/>
      <c r="K5" s="27"/>
      <c r="L5" s="28"/>
      <c r="M5" s="29"/>
      <c r="N5" s="29"/>
      <c r="O5" s="28"/>
      <c r="P5" s="28"/>
      <c r="Q5" s="29"/>
      <c r="R5" s="28"/>
      <c r="S5" s="31"/>
    </row>
    <row r="6" ht="15" customHeight="1" s="59" customFormat="1">
      <c r="A6" s="60"/>
      <c r="B6" s="59"/>
      <c r="C6" s="61"/>
      <c r="D6" s="62"/>
      <c r="E6" s="62"/>
      <c r="F6" s="63"/>
      <c r="G6" s="61"/>
      <c r="H6" s="62"/>
      <c r="I6" s="61"/>
      <c r="J6" s="64"/>
      <c r="K6" s="59"/>
      <c r="L6" s="61"/>
      <c r="M6" s="62"/>
      <c r="N6" s="62"/>
      <c r="O6" s="61"/>
      <c r="P6" s="61"/>
      <c r="Q6" s="62"/>
      <c r="R6" s="61"/>
      <c r="S6" s="64"/>
      <c r="U6" s="59" t="s">
        <v>72</v>
      </c>
    </row>
    <row r="7" ht="15" customHeight="1" s="59" customFormat="1">
      <c r="A7" s="60"/>
      <c r="B7" s="59"/>
      <c r="C7" s="61"/>
      <c r="D7" s="62"/>
      <c r="E7" s="62"/>
      <c r="F7" s="63"/>
      <c r="G7" s="61"/>
      <c r="H7" s="62"/>
      <c r="I7" s="61"/>
      <c r="J7" s="64"/>
      <c r="K7" s="59"/>
      <c r="L7" s="61"/>
      <c r="M7" s="62"/>
      <c r="N7" s="62"/>
      <c r="O7" s="61"/>
      <c r="P7" s="61"/>
      <c r="Q7" s="62"/>
      <c r="R7" s="61"/>
      <c r="S7" s="64"/>
      <c r="U7" s="59" t="s">
        <v>101</v>
      </c>
    </row>
    <row r="8" ht="15" customHeight="1" s="4" customFormat="1">
      <c r="A8" s="26"/>
      <c r="B8" s="27"/>
      <c r="C8" s="29"/>
      <c r="D8" s="29"/>
      <c r="E8" s="29"/>
      <c r="F8" s="30"/>
      <c r="G8" s="28"/>
      <c r="H8" s="29"/>
      <c r="I8" s="28"/>
      <c r="J8" s="31"/>
      <c r="K8" s="27"/>
      <c r="L8" s="28"/>
      <c r="M8" s="29"/>
      <c r="N8" s="29"/>
      <c r="O8" s="28"/>
      <c r="P8" s="28"/>
      <c r="Q8" s="29"/>
      <c r="R8" s="28"/>
      <c r="S8" s="31"/>
    </row>
    <row r="9" ht="15" customHeight="1" s="59" customFormat="1">
      <c r="A9" s="60"/>
      <c r="B9" s="59"/>
      <c r="C9" s="61"/>
      <c r="D9" s="62"/>
      <c r="E9" s="62"/>
      <c r="F9" s="63"/>
      <c r="G9" s="61"/>
      <c r="H9" s="62"/>
      <c r="I9" s="61"/>
      <c r="J9" s="64"/>
      <c r="K9" s="59"/>
      <c r="L9" s="61"/>
      <c r="M9" s="62"/>
      <c r="N9" s="62"/>
      <c r="O9" s="61"/>
      <c r="P9" s="61"/>
      <c r="Q9" s="62"/>
      <c r="R9" s="61"/>
      <c r="S9" s="64"/>
      <c r="U9" s="59" t="s">
        <v>102</v>
      </c>
    </row>
    <row r="10" ht="15" customHeight="1" s="4" customFormat="1">
      <c r="A10" s="26"/>
      <c r="B10" s="27"/>
      <c r="C10" s="28"/>
      <c r="D10" s="29"/>
      <c r="E10" s="29"/>
      <c r="F10" s="30"/>
      <c r="G10" s="28"/>
      <c r="H10" s="29"/>
      <c r="I10" s="28"/>
      <c r="J10" s="31"/>
      <c r="K10" s="27"/>
      <c r="L10" s="28"/>
      <c r="M10" s="29"/>
      <c r="N10" s="29"/>
      <c r="O10" s="28"/>
      <c r="P10" s="28"/>
      <c r="Q10" s="29"/>
      <c r="R10" s="28"/>
      <c r="S10" s="31"/>
    </row>
    <row r="11" ht="15" customHeight="1" s="4" customFormat="1">
      <c r="A11" s="26"/>
      <c r="B11" s="27"/>
      <c r="C11" s="28"/>
      <c r="D11" s="29"/>
      <c r="E11" s="29"/>
      <c r="F11" s="30"/>
      <c r="G11" s="28"/>
      <c r="H11" s="29"/>
      <c r="I11" s="28"/>
      <c r="J11" s="31"/>
      <c r="K11" s="27"/>
      <c r="L11" s="28"/>
      <c r="M11" s="29"/>
      <c r="N11" s="29"/>
      <c r="O11" s="28"/>
      <c r="P11" s="28"/>
      <c r="Q11" s="29"/>
      <c r="R11" s="28"/>
      <c r="S11" s="31"/>
    </row>
    <row r="12" ht="15" customHeight="1" s="4" customFormat="1">
      <c r="A12" s="26"/>
      <c r="B12" s="27"/>
      <c r="C12" s="28"/>
      <c r="D12" s="29"/>
      <c r="E12" s="29"/>
      <c r="F12" s="30"/>
      <c r="G12" s="28"/>
      <c r="H12" s="29"/>
      <c r="I12" s="28"/>
      <c r="J12" s="31"/>
      <c r="K12" s="27"/>
      <c r="L12" s="28"/>
      <c r="M12" s="29"/>
      <c r="N12" s="29"/>
      <c r="O12" s="28"/>
      <c r="P12" s="28"/>
      <c r="Q12" s="29"/>
      <c r="R12" s="28"/>
      <c r="S12" s="31"/>
    </row>
    <row r="13" ht="15" customHeight="1" s="4" customFormat="1">
      <c r="A13" s="26"/>
      <c r="B13" s="27"/>
      <c r="C13" s="28"/>
      <c r="D13" s="29"/>
      <c r="E13" s="29"/>
      <c r="F13" s="30"/>
      <c r="G13" s="28"/>
      <c r="H13" s="29"/>
      <c r="I13" s="28"/>
      <c r="J13" s="31"/>
      <c r="K13" s="27"/>
      <c r="L13" s="29"/>
      <c r="M13" s="29"/>
      <c r="N13" s="29"/>
      <c r="O13" s="28"/>
      <c r="P13" s="28"/>
      <c r="Q13" s="29"/>
      <c r="R13" s="28"/>
      <c r="S13" s="31"/>
    </row>
    <row r="14" ht="15" customHeight="1" s="4" customFormat="1">
      <c r="A14" s="26"/>
      <c r="B14" s="27"/>
      <c r="C14" s="28"/>
      <c r="D14" s="29"/>
      <c r="E14" s="29"/>
      <c r="F14" s="30"/>
      <c r="G14" s="28"/>
      <c r="H14" s="29"/>
      <c r="I14" s="28"/>
      <c r="J14" s="31"/>
      <c r="K14" s="27"/>
      <c r="L14" s="28"/>
      <c r="M14" s="29"/>
      <c r="N14" s="29"/>
      <c r="O14" s="28"/>
      <c r="P14" s="28"/>
      <c r="Q14" s="29"/>
      <c r="R14" s="28"/>
      <c r="S14" s="31"/>
    </row>
    <row r="15" ht="15" customHeight="1" s="4" customFormat="1">
      <c r="A15" s="26"/>
      <c r="B15" s="27"/>
      <c r="C15" s="28"/>
      <c r="D15" s="29"/>
      <c r="E15" s="29"/>
      <c r="F15" s="30"/>
      <c r="G15" s="28"/>
      <c r="H15" s="29"/>
      <c r="I15" s="28"/>
      <c r="J15" s="31"/>
      <c r="K15" s="27"/>
      <c r="L15" s="28"/>
      <c r="M15" s="29"/>
      <c r="N15" s="29"/>
      <c r="O15" s="28"/>
      <c r="P15" s="28"/>
      <c r="Q15" s="29"/>
      <c r="R15" s="28"/>
      <c r="S15" s="31"/>
    </row>
    <row r="16" ht="15" customHeight="1" s="4" customFormat="1">
      <c r="A16" s="26"/>
      <c r="B16" s="27"/>
      <c r="C16" s="28"/>
      <c r="D16" s="29"/>
      <c r="E16" s="29"/>
      <c r="F16" s="30"/>
      <c r="G16" s="28"/>
      <c r="H16" s="29"/>
      <c r="I16" s="28"/>
      <c r="J16" s="31"/>
      <c r="K16" s="27"/>
      <c r="L16" s="28"/>
      <c r="M16" s="29"/>
      <c r="N16" s="29"/>
      <c r="O16" s="28"/>
      <c r="P16" s="28"/>
      <c r="Q16" s="29"/>
      <c r="R16" s="28"/>
      <c r="S16" s="31"/>
    </row>
    <row r="17" ht="15" customHeight="1" s="4" customFormat="1">
      <c r="A17" s="26"/>
      <c r="B17" s="27"/>
      <c r="C17" s="28"/>
      <c r="D17" s="29"/>
      <c r="E17" s="29"/>
      <c r="F17" s="30"/>
      <c r="G17" s="28"/>
      <c r="H17" s="29"/>
      <c r="I17" s="28"/>
      <c r="J17" s="31"/>
      <c r="K17" s="27"/>
      <c r="L17" s="28"/>
      <c r="M17" s="29"/>
      <c r="N17" s="29"/>
      <c r="O17" s="28"/>
      <c r="P17" s="28"/>
      <c r="Q17" s="29"/>
      <c r="R17" s="28"/>
      <c r="S17" s="31"/>
    </row>
    <row r="18" ht="15" customHeight="1" s="4" customFormat="1">
      <c r="A18" s="26"/>
      <c r="B18" s="27"/>
      <c r="C18" s="28"/>
      <c r="D18" s="29"/>
      <c r="E18" s="29"/>
      <c r="F18" s="30"/>
      <c r="G18" s="28"/>
      <c r="H18" s="29"/>
      <c r="I18" s="28"/>
      <c r="J18" s="31"/>
      <c r="K18" s="27"/>
      <c r="L18" s="28"/>
      <c r="M18" s="29"/>
      <c r="N18" s="29"/>
      <c r="O18" s="28"/>
      <c r="P18" s="28"/>
      <c r="Q18" s="29"/>
      <c r="R18" s="28"/>
      <c r="S18" s="31"/>
    </row>
    <row r="19" ht="15" customHeight="1" s="4" customFormat="1">
      <c r="A19" s="26"/>
      <c r="B19" s="27"/>
      <c r="C19" s="28"/>
      <c r="D19" s="29"/>
      <c r="E19" s="29"/>
      <c r="F19" s="30"/>
      <c r="G19" s="28"/>
      <c r="H19" s="29"/>
      <c r="I19" s="28"/>
      <c r="J19" s="31"/>
      <c r="K19" s="27"/>
      <c r="L19" s="28"/>
      <c r="M19" s="29"/>
      <c r="N19" s="29"/>
      <c r="O19" s="28"/>
      <c r="P19" s="28"/>
      <c r="Q19" s="29"/>
      <c r="R19" s="28"/>
      <c r="S19" s="31"/>
    </row>
    <row r="20" ht="15" customHeight="1" s="4" customFormat="1">
      <c r="A20" s="26"/>
      <c r="B20" s="27"/>
      <c r="C20" s="28"/>
      <c r="D20" s="29"/>
      <c r="E20" s="29"/>
      <c r="F20" s="30"/>
      <c r="G20" s="28"/>
      <c r="H20" s="29"/>
      <c r="I20" s="28"/>
      <c r="J20" s="31"/>
      <c r="K20" s="27"/>
      <c r="L20" s="28"/>
      <c r="M20" s="29"/>
      <c r="N20" s="29"/>
      <c r="O20" s="28"/>
      <c r="P20" s="28"/>
      <c r="Q20" s="29"/>
      <c r="R20" s="28"/>
      <c r="S20" s="31"/>
    </row>
    <row r="21" ht="15" customHeight="1" s="4" customFormat="1">
      <c r="A21" s="26"/>
      <c r="B21" s="27"/>
      <c r="C21" s="28"/>
      <c r="D21" s="29"/>
      <c r="E21" s="29"/>
      <c r="F21" s="30"/>
      <c r="G21" s="28"/>
      <c r="H21" s="29"/>
      <c r="I21" s="28"/>
      <c r="J21" s="31"/>
      <c r="K21" s="27"/>
      <c r="L21" s="28"/>
      <c r="M21" s="29"/>
      <c r="N21" s="29"/>
      <c r="O21" s="28"/>
      <c r="P21" s="28"/>
      <c r="Q21" s="29"/>
      <c r="R21" s="28"/>
      <c r="S21" s="31"/>
    </row>
    <row r="22" ht="15" customHeight="1" s="4" customFormat="1">
      <c r="A22" s="26"/>
      <c r="B22" s="27"/>
      <c r="C22" s="28"/>
      <c r="D22" s="29"/>
      <c r="E22" s="29"/>
      <c r="F22" s="30"/>
      <c r="G22" s="28"/>
      <c r="H22" s="29"/>
      <c r="I22" s="28"/>
      <c r="J22" s="31"/>
      <c r="K22" s="27"/>
      <c r="L22" s="28"/>
      <c r="M22" s="29"/>
      <c r="N22" s="29"/>
      <c r="O22" s="28"/>
      <c r="P22" s="28"/>
      <c r="Q22" s="29"/>
      <c r="R22" s="28"/>
      <c r="S22" s="31"/>
    </row>
    <row r="23" ht="15" customHeight="1" s="4" customFormat="1">
      <c r="A23" s="26"/>
      <c r="B23" s="27"/>
      <c r="C23" s="28"/>
      <c r="D23" s="29"/>
      <c r="E23" s="29"/>
      <c r="F23" s="30"/>
      <c r="G23" s="28"/>
      <c r="H23" s="29"/>
      <c r="I23" s="28"/>
      <c r="J23" s="31"/>
      <c r="K23" s="27"/>
      <c r="L23" s="28"/>
      <c r="M23" s="29"/>
      <c r="N23" s="29"/>
      <c r="O23" s="28"/>
      <c r="P23" s="28"/>
      <c r="Q23" s="29"/>
      <c r="R23" s="28"/>
      <c r="S23" s="31"/>
    </row>
    <row r="24" ht="15" customHeight="1" s="4" customFormat="1">
      <c r="A24" s="26"/>
      <c r="B24" s="27"/>
      <c r="C24" s="28"/>
      <c r="D24" s="29"/>
      <c r="E24" s="29"/>
      <c r="F24" s="30"/>
      <c r="G24" s="28"/>
      <c r="H24" s="29"/>
      <c r="I24" s="28"/>
      <c r="J24" s="31"/>
      <c r="K24" s="27"/>
      <c r="L24" s="28"/>
      <c r="M24" s="29"/>
      <c r="N24" s="29"/>
      <c r="O24" s="28"/>
      <c r="P24" s="28"/>
      <c r="Q24" s="29"/>
      <c r="R24" s="28"/>
      <c r="S24" s="31"/>
    </row>
    <row r="25" ht="15" customHeight="1" s="4" customFormat="1">
      <c r="A25" s="26"/>
      <c r="B25" s="27"/>
      <c r="C25" s="28"/>
      <c r="D25" s="29"/>
      <c r="E25" s="29"/>
      <c r="F25" s="30"/>
      <c r="G25" s="28"/>
      <c r="H25" s="29"/>
      <c r="I25" s="28"/>
      <c r="J25" s="31"/>
      <c r="K25" s="27"/>
      <c r="L25" s="28"/>
      <c r="M25" s="29"/>
      <c r="N25" s="29"/>
      <c r="O25" s="28"/>
      <c r="P25" s="28"/>
      <c r="Q25" s="29"/>
      <c r="R25" s="28"/>
      <c r="S25" s="31"/>
    </row>
    <row r="26" ht="15" customHeight="1" s="4" customFormat="1">
      <c r="A26" s="26"/>
      <c r="B26" s="27"/>
      <c r="C26" s="28"/>
      <c r="D26" s="29"/>
      <c r="E26" s="29"/>
      <c r="F26" s="30"/>
      <c r="G26" s="28"/>
      <c r="H26" s="29"/>
      <c r="I26" s="28"/>
      <c r="J26" s="31"/>
      <c r="K26" s="27"/>
      <c r="L26" s="28"/>
      <c r="M26" s="29"/>
      <c r="N26" s="29"/>
      <c r="O26" s="28"/>
      <c r="P26" s="28"/>
      <c r="Q26" s="29"/>
      <c r="R26" s="28"/>
      <c r="S26" s="31"/>
    </row>
    <row r="27" ht="15" customHeight="1" s="59" customFormat="1">
      <c r="A27" s="60"/>
      <c r="B27" s="59"/>
      <c r="C27" s="61"/>
      <c r="D27" s="62"/>
      <c r="E27" s="62"/>
      <c r="F27" s="63"/>
      <c r="G27" s="61"/>
      <c r="H27" s="62"/>
      <c r="I27" s="61"/>
      <c r="J27" s="64"/>
      <c r="K27" s="59"/>
      <c r="L27" s="61"/>
      <c r="M27" s="62"/>
      <c r="N27" s="62"/>
      <c r="O27" s="61"/>
      <c r="P27" s="61"/>
      <c r="Q27" s="62"/>
      <c r="R27" s="61"/>
      <c r="S27" s="64"/>
      <c r="U27" s="59" t="s">
        <v>103</v>
      </c>
    </row>
    <row r="28" ht="15" customHeight="1" s="4" customFormat="1">
      <c r="A28" s="26"/>
      <c r="B28" s="27"/>
      <c r="C28" s="28"/>
      <c r="D28" s="29"/>
      <c r="E28" s="29"/>
      <c r="F28" s="30"/>
      <c r="G28" s="28"/>
      <c r="H28" s="29"/>
      <c r="I28" s="28"/>
      <c r="J28" s="31"/>
      <c r="K28" s="27"/>
      <c r="L28" s="28"/>
      <c r="M28" s="29"/>
      <c r="N28" s="29"/>
      <c r="O28" s="28"/>
      <c r="P28" s="28"/>
      <c r="Q28" s="29"/>
      <c r="R28" s="28"/>
      <c r="S28" s="31"/>
    </row>
    <row r="29" ht="15" customHeight="1" s="4" customFormat="1">
      <c r="A29" s="26"/>
      <c r="B29" s="27"/>
      <c r="C29" s="28"/>
      <c r="D29" s="29"/>
      <c r="E29" s="29"/>
      <c r="F29" s="30"/>
      <c r="G29" s="28"/>
      <c r="H29" s="29"/>
      <c r="I29" s="28"/>
      <c r="J29" s="31"/>
      <c r="K29" s="27"/>
      <c r="L29" s="28"/>
      <c r="M29" s="29"/>
      <c r="N29" s="29"/>
      <c r="O29" s="28"/>
      <c r="P29" s="28"/>
      <c r="Q29" s="29"/>
      <c r="R29" s="28"/>
      <c r="S29" s="31"/>
    </row>
    <row r="30" ht="15" customHeight="1" s="4" customFormat="1">
      <c r="A30" s="26"/>
      <c r="B30" s="27"/>
      <c r="C30" s="28"/>
      <c r="D30" s="29"/>
      <c r="E30" s="29"/>
      <c r="F30" s="30"/>
      <c r="G30" s="28"/>
      <c r="H30" s="29"/>
      <c r="I30" s="28"/>
      <c r="J30" s="31"/>
      <c r="K30" s="27"/>
      <c r="L30" s="28"/>
      <c r="M30" s="29"/>
      <c r="N30" s="29"/>
      <c r="O30" s="28"/>
      <c r="P30" s="28"/>
      <c r="Q30" s="29"/>
      <c r="R30" s="28"/>
      <c r="S30" s="31"/>
    </row>
    <row r="31" ht="15" customHeight="1" s="4" customFormat="1">
      <c r="A31" s="26"/>
      <c r="B31" s="27"/>
      <c r="C31" s="28"/>
      <c r="D31" s="29"/>
      <c r="E31" s="29"/>
      <c r="F31" s="30"/>
      <c r="G31" s="28"/>
      <c r="H31" s="29"/>
      <c r="I31" s="28"/>
      <c r="J31" s="31"/>
      <c r="K31" s="27"/>
      <c r="L31" s="28"/>
      <c r="M31" s="29"/>
      <c r="N31" s="29"/>
      <c r="O31" s="28"/>
      <c r="P31" s="28"/>
      <c r="Q31" s="29"/>
      <c r="R31" s="28"/>
      <c r="S31" s="31"/>
    </row>
    <row r="32" ht="15" customHeight="1" s="4" customFormat="1">
      <c r="A32" s="26"/>
      <c r="B32" s="27"/>
      <c r="C32" s="28"/>
      <c r="D32" s="29"/>
      <c r="E32" s="29"/>
      <c r="F32" s="30"/>
      <c r="G32" s="28"/>
      <c r="H32" s="29"/>
      <c r="I32" s="28"/>
      <c r="J32" s="31"/>
      <c r="K32" s="27"/>
      <c r="L32" s="28"/>
      <c r="M32" s="29"/>
      <c r="N32" s="29"/>
      <c r="O32" s="28"/>
      <c r="P32" s="28"/>
      <c r="Q32" s="29"/>
      <c r="R32" s="28"/>
      <c r="S32" s="31"/>
    </row>
    <row r="33" ht="15" customHeight="1" s="4" customFormat="1">
      <c r="A33" s="26"/>
      <c r="B33" s="27"/>
      <c r="C33" s="29"/>
      <c r="D33" s="29"/>
      <c r="E33" s="29"/>
      <c r="F33" s="29"/>
      <c r="G33" s="31"/>
      <c r="H33" s="29"/>
      <c r="I33" s="28"/>
      <c r="J33" s="65"/>
      <c r="K33" s="27"/>
      <c r="L33" s="29"/>
      <c r="M33" s="29"/>
      <c r="N33" s="29"/>
      <c r="O33" s="28"/>
      <c r="P33" s="31"/>
      <c r="Q33" s="29"/>
      <c r="R33" s="28"/>
      <c r="S33" s="66"/>
    </row>
    <row r="34" ht="15" customHeight="1" s="4" customFormat="1">
      <c r="A34" s="26"/>
      <c r="B34" s="27"/>
      <c r="C34" s="28"/>
      <c r="D34" s="29"/>
      <c r="E34" s="29"/>
      <c r="F34" s="30"/>
      <c r="G34" s="28"/>
      <c r="H34" s="29"/>
      <c r="I34" s="28"/>
      <c r="J34" s="31"/>
      <c r="K34" s="27"/>
      <c r="L34" s="28"/>
      <c r="M34" s="29"/>
      <c r="N34" s="29"/>
      <c r="O34" s="28"/>
      <c r="P34" s="28"/>
      <c r="Q34" s="29"/>
      <c r="R34" s="28"/>
      <c r="S34" s="31"/>
    </row>
    <row r="35" ht="15" customHeight="1" s="4" customFormat="1">
      <c r="A35" s="26"/>
      <c r="B35" s="27"/>
      <c r="C35" s="28"/>
      <c r="D35" s="29"/>
      <c r="E35" s="29"/>
      <c r="F35" s="30"/>
      <c r="G35" s="28"/>
      <c r="H35" s="29"/>
      <c r="I35" s="28"/>
      <c r="J35" s="31"/>
      <c r="K35" s="27"/>
      <c r="L35" s="28"/>
      <c r="M35" s="29"/>
      <c r="N35" s="29"/>
      <c r="O35" s="28"/>
      <c r="P35" s="28"/>
      <c r="Q35" s="29"/>
      <c r="R35" s="28"/>
      <c r="S35" s="31"/>
    </row>
    <row r="36" ht="15" customHeight="1" s="4" customFormat="1">
      <c r="A36" s="26"/>
      <c r="B36" s="27"/>
      <c r="C36" s="28"/>
      <c r="D36" s="29"/>
      <c r="E36" s="29"/>
      <c r="F36" s="30"/>
      <c r="G36" s="28"/>
      <c r="H36" s="29"/>
      <c r="I36" s="28"/>
      <c r="J36" s="31"/>
      <c r="K36" s="27"/>
      <c r="L36" s="28"/>
      <c r="M36" s="29"/>
      <c r="N36" s="29"/>
      <c r="O36" s="28"/>
      <c r="P36" s="28"/>
      <c r="Q36" s="29"/>
      <c r="R36" s="28"/>
      <c r="S36" s="31"/>
    </row>
    <row r="37" ht="15" customHeight="1" s="4" customFormat="1">
      <c r="A37" s="26"/>
      <c r="B37" s="27"/>
      <c r="C37" s="28"/>
      <c r="D37" s="29"/>
      <c r="E37" s="29"/>
      <c r="F37" s="30"/>
      <c r="G37" s="28"/>
      <c r="H37" s="29"/>
      <c r="I37" s="28"/>
      <c r="J37" s="31"/>
      <c r="K37" s="27"/>
      <c r="L37" s="28"/>
      <c r="M37" s="29"/>
      <c r="N37" s="29"/>
      <c r="O37" s="28"/>
      <c r="P37" s="28"/>
      <c r="Q37" s="29"/>
      <c r="R37" s="28"/>
      <c r="S37" s="31"/>
    </row>
    <row r="38" ht="15" customHeight="1" s="4" customFormat="1">
      <c r="A38" s="26"/>
      <c r="B38" s="27"/>
      <c r="C38" s="28"/>
      <c r="D38" s="29"/>
      <c r="E38" s="29"/>
      <c r="F38" s="30"/>
      <c r="G38" s="28"/>
      <c r="H38" s="29"/>
      <c r="I38" s="28"/>
      <c r="J38" s="31"/>
      <c r="K38" s="27"/>
      <c r="L38" s="28"/>
      <c r="M38" s="29"/>
      <c r="N38" s="29"/>
      <c r="O38" s="28"/>
      <c r="P38" s="28"/>
      <c r="Q38" s="29"/>
      <c r="R38" s="28"/>
      <c r="S38" s="31"/>
    </row>
    <row r="39" ht="15" customHeight="1" s="4" customFormat="1">
      <c r="A39" s="26"/>
      <c r="B39" s="27"/>
      <c r="C39" s="28"/>
      <c r="D39" s="29"/>
      <c r="E39" s="29"/>
      <c r="F39" s="30"/>
      <c r="G39" s="28"/>
      <c r="H39" s="29"/>
      <c r="I39" s="28"/>
      <c r="J39" s="31"/>
      <c r="K39" s="27"/>
      <c r="L39" s="28"/>
      <c r="M39" s="29"/>
      <c r="N39" s="29"/>
      <c r="O39" s="28"/>
      <c r="P39" s="28"/>
      <c r="Q39" s="29"/>
      <c r="R39" s="28"/>
      <c r="S39" s="31"/>
    </row>
    <row r="40" ht="15" customHeight="1" s="4" customFormat="1">
      <c r="A40" s="26"/>
      <c r="B40" s="27"/>
      <c r="C40" s="28"/>
      <c r="D40" s="29"/>
      <c r="E40" s="29"/>
      <c r="F40" s="30"/>
      <c r="G40" s="28"/>
      <c r="H40" s="29"/>
      <c r="I40" s="28"/>
      <c r="J40" s="31"/>
      <c r="K40" s="27"/>
      <c r="L40" s="28"/>
      <c r="M40" s="29"/>
      <c r="N40" s="29"/>
      <c r="O40" s="28"/>
      <c r="P40" s="28"/>
      <c r="Q40" s="29"/>
      <c r="R40" s="28"/>
      <c r="S40" s="31"/>
    </row>
    <row r="41" ht="15" customHeight="1" s="4" customFormat="1">
      <c r="A41" s="26"/>
      <c r="B41" s="27"/>
      <c r="C41" s="28"/>
      <c r="D41" s="29"/>
      <c r="E41" s="29"/>
      <c r="F41" s="30"/>
      <c r="G41" s="28"/>
      <c r="H41" s="29"/>
      <c r="I41" s="28"/>
      <c r="J41" s="31"/>
      <c r="K41" s="27"/>
      <c r="L41" s="28"/>
      <c r="M41" s="29"/>
      <c r="N41" s="29"/>
      <c r="O41" s="28"/>
      <c r="P41" s="28"/>
      <c r="Q41" s="29"/>
      <c r="R41" s="28"/>
      <c r="S41" s="31"/>
    </row>
    <row r="42" ht="15" customHeight="1" s="4" customFormat="1">
      <c r="A42" s="26"/>
      <c r="B42" s="27"/>
      <c r="C42" s="28"/>
      <c r="D42" s="29"/>
      <c r="E42" s="29"/>
      <c r="F42" s="30"/>
      <c r="G42" s="28"/>
      <c r="H42" s="29"/>
      <c r="I42" s="28"/>
      <c r="J42" s="31"/>
      <c r="K42" s="27"/>
      <c r="L42" s="28"/>
      <c r="M42" s="29"/>
      <c r="N42" s="29"/>
      <c r="O42" s="28"/>
      <c r="P42" s="28"/>
      <c r="Q42" s="29"/>
      <c r="R42" s="28"/>
      <c r="S42" s="31"/>
    </row>
    <row r="43" ht="15" customHeight="1" s="4" customFormat="1">
      <c r="A43" s="26"/>
      <c r="B43" s="27"/>
      <c r="C43" s="28"/>
      <c r="D43" s="29"/>
      <c r="E43" s="29"/>
      <c r="F43" s="30"/>
      <c r="G43" s="28"/>
      <c r="H43" s="29"/>
      <c r="I43" s="28"/>
      <c r="J43" s="31"/>
      <c r="K43" s="27"/>
      <c r="L43" s="28"/>
      <c r="M43" s="29"/>
      <c r="N43" s="29"/>
      <c r="O43" s="28"/>
      <c r="P43" s="28"/>
      <c r="Q43" s="29"/>
      <c r="R43" s="28"/>
      <c r="S43" s="31"/>
    </row>
    <row r="44" ht="15" customHeight="1" s="4" customFormat="1">
      <c r="A44" s="26"/>
      <c r="B44" s="27"/>
      <c r="C44" s="28"/>
      <c r="D44" s="29"/>
      <c r="E44" s="29"/>
      <c r="F44" s="30"/>
      <c r="G44" s="28"/>
      <c r="H44" s="29"/>
      <c r="I44" s="28"/>
      <c r="J44" s="31"/>
      <c r="K44" s="27"/>
      <c r="L44" s="28"/>
      <c r="M44" s="29"/>
      <c r="N44" s="29"/>
      <c r="O44" s="28"/>
      <c r="P44" s="28"/>
      <c r="Q44" s="29"/>
      <c r="R44" s="28"/>
      <c r="S44" s="31"/>
    </row>
    <row r="45" ht="15" customHeight="1" s="4" customFormat="1">
      <c r="A45" s="26"/>
      <c r="B45" s="27"/>
      <c r="C45" s="28"/>
      <c r="D45" s="29"/>
      <c r="E45" s="29"/>
      <c r="F45" s="30"/>
      <c r="G45" s="28"/>
      <c r="H45" s="29"/>
      <c r="I45" s="28"/>
      <c r="J45" s="31"/>
      <c r="K45" s="27"/>
      <c r="L45" s="28"/>
      <c r="M45" s="29"/>
      <c r="N45" s="29"/>
      <c r="O45" s="28"/>
      <c r="P45" s="28"/>
      <c r="Q45" s="29"/>
      <c r="R45" s="28"/>
      <c r="S45" s="31"/>
    </row>
    <row r="46" ht="15" customHeight="1" s="4" customFormat="1">
      <c r="A46" s="26"/>
      <c r="B46" s="27"/>
      <c r="C46" s="28"/>
      <c r="D46" s="29"/>
      <c r="E46" s="29"/>
      <c r="F46" s="30"/>
      <c r="G46" s="28"/>
      <c r="H46" s="29"/>
      <c r="I46" s="28"/>
      <c r="J46" s="31"/>
      <c r="K46" s="27"/>
      <c r="L46" s="28"/>
      <c r="M46" s="29"/>
      <c r="N46" s="29"/>
      <c r="O46" s="28"/>
      <c r="P46" s="28"/>
      <c r="Q46" s="29"/>
      <c r="R46" s="28"/>
      <c r="S46" s="31"/>
    </row>
    <row r="47" ht="15" customHeight="1" s="4" customFormat="1">
      <c r="A47" s="26"/>
      <c r="B47" s="27"/>
      <c r="C47" s="28"/>
      <c r="D47" s="29"/>
      <c r="E47" s="29"/>
      <c r="F47" s="30"/>
      <c r="G47" s="28"/>
      <c r="H47" s="29"/>
      <c r="I47" s="28"/>
      <c r="J47" s="31"/>
      <c r="K47" s="27"/>
      <c r="L47" s="28"/>
      <c r="M47" s="29"/>
      <c r="N47" s="29"/>
      <c r="O47" s="28"/>
      <c r="P47" s="28"/>
      <c r="Q47" s="29"/>
      <c r="R47" s="28"/>
      <c r="S47" s="31"/>
    </row>
    <row r="48" ht="15" customHeight="1" s="4" customFormat="1">
      <c r="A48" s="26"/>
      <c r="B48" s="27"/>
      <c r="C48" s="28"/>
      <c r="D48" s="29"/>
      <c r="E48" s="29"/>
      <c r="F48" s="30"/>
      <c r="G48" s="28"/>
      <c r="H48" s="29"/>
      <c r="I48" s="28"/>
      <c r="J48" s="31"/>
      <c r="K48" s="27"/>
      <c r="L48" s="28"/>
      <c r="M48" s="29"/>
      <c r="N48" s="29"/>
      <c r="O48" s="28"/>
      <c r="P48" s="28"/>
      <c r="Q48" s="29"/>
      <c r="R48" s="28"/>
      <c r="S48" s="31"/>
    </row>
    <row r="49" ht="15" customHeight="1" s="4" customFormat="1">
      <c r="A49" s="26"/>
      <c r="B49" s="27"/>
      <c r="C49" s="28"/>
      <c r="D49" s="29"/>
      <c r="E49" s="29"/>
      <c r="F49" s="30"/>
      <c r="G49" s="28"/>
      <c r="H49" s="29"/>
      <c r="I49" s="28"/>
      <c r="J49" s="31"/>
      <c r="K49" s="27"/>
      <c r="L49" s="28"/>
      <c r="M49" s="29"/>
      <c r="N49" s="29"/>
      <c r="O49" s="28"/>
      <c r="P49" s="28"/>
      <c r="Q49" s="29"/>
      <c r="R49" s="28"/>
      <c r="S49" s="31"/>
    </row>
    <row r="50" ht="15" customHeight="1" s="4" customFormat="1">
      <c r="A50" s="26"/>
      <c r="B50" s="27"/>
      <c r="C50" s="28"/>
      <c r="D50" s="29"/>
      <c r="E50" s="29"/>
      <c r="F50" s="30"/>
      <c r="G50" s="28"/>
      <c r="H50" s="29"/>
      <c r="I50" s="28"/>
      <c r="J50" s="31"/>
      <c r="K50" s="27"/>
      <c r="L50" s="28"/>
      <c r="M50" s="29"/>
      <c r="N50" s="29"/>
      <c r="O50" s="28"/>
      <c r="P50" s="28"/>
      <c r="Q50" s="29"/>
      <c r="R50" s="28"/>
      <c r="S50" s="31"/>
    </row>
    <row r="51" ht="15" customHeight="1" s="4" customFormat="1">
      <c r="A51" s="26"/>
      <c r="B51" s="27"/>
      <c r="C51" s="28"/>
      <c r="D51" s="29"/>
      <c r="E51" s="29"/>
      <c r="F51" s="30"/>
      <c r="G51" s="28"/>
      <c r="H51" s="29"/>
      <c r="I51" s="28"/>
      <c r="J51" s="31"/>
      <c r="K51" s="27"/>
      <c r="L51" s="28"/>
      <c r="M51" s="29"/>
      <c r="N51" s="29"/>
      <c r="O51" s="28"/>
      <c r="P51" s="28"/>
      <c r="Q51" s="29"/>
      <c r="R51" s="28"/>
      <c r="S51" s="31"/>
    </row>
    <row r="52" ht="15" customHeight="1" s="4" customFormat="1">
      <c r="A52" s="26"/>
      <c r="B52" s="27"/>
      <c r="C52" s="28"/>
      <c r="D52" s="29"/>
      <c r="E52" s="29"/>
      <c r="F52" s="30"/>
      <c r="G52" s="28"/>
      <c r="H52" s="29"/>
      <c r="I52" s="28"/>
      <c r="J52" s="31"/>
      <c r="K52" s="27"/>
      <c r="L52" s="28"/>
      <c r="M52" s="29"/>
      <c r="N52" s="29"/>
      <c r="O52" s="28"/>
      <c r="P52" s="28"/>
      <c r="Q52" s="29"/>
      <c r="R52" s="28"/>
      <c r="S52" s="31"/>
    </row>
    <row r="53" ht="15" customHeight="1" s="4" customFormat="1">
      <c r="A53" s="26"/>
      <c r="B53" s="27"/>
      <c r="C53" s="28"/>
      <c r="D53" s="29"/>
      <c r="E53" s="29"/>
      <c r="F53" s="30"/>
      <c r="G53" s="28"/>
      <c r="H53" s="29"/>
      <c r="I53" s="28"/>
      <c r="J53" s="31"/>
      <c r="K53" s="27"/>
      <c r="L53" s="28"/>
      <c r="M53" s="29"/>
      <c r="N53" s="29"/>
      <c r="O53" s="28"/>
      <c r="P53" s="28"/>
      <c r="Q53" s="29"/>
      <c r="R53" s="28"/>
      <c r="S53" s="31"/>
    </row>
    <row r="54" ht="15" customHeight="1" s="4" customFormat="1">
      <c r="A54" s="26"/>
      <c r="B54" s="27"/>
      <c r="C54" s="28"/>
      <c r="D54" s="29"/>
      <c r="E54" s="29"/>
      <c r="F54" s="30"/>
      <c r="G54" s="28"/>
      <c r="H54" s="29"/>
      <c r="I54" s="28"/>
      <c r="J54" s="31"/>
      <c r="K54" s="27"/>
      <c r="L54" s="28"/>
      <c r="M54" s="29"/>
      <c r="N54" s="29"/>
      <c r="O54" s="28"/>
      <c r="P54" s="28"/>
      <c r="Q54" s="29"/>
      <c r="R54" s="28"/>
      <c r="S54" s="31"/>
    </row>
    <row r="55" ht="15" customHeight="1" s="4" customFormat="1">
      <c r="A55" s="26"/>
      <c r="B55" s="27"/>
      <c r="C55" s="28"/>
      <c r="D55" s="29"/>
      <c r="E55" s="29"/>
      <c r="F55" s="30"/>
      <c r="G55" s="28"/>
      <c r="H55" s="29"/>
      <c r="I55" s="28"/>
      <c r="J55" s="31"/>
      <c r="K55" s="27"/>
      <c r="L55" s="28"/>
      <c r="M55" s="29"/>
      <c r="N55" s="29"/>
      <c r="O55" s="28"/>
      <c r="P55" s="28"/>
      <c r="Q55" s="29"/>
      <c r="R55" s="28"/>
      <c r="S55" s="31"/>
    </row>
    <row r="56" ht="15" customHeight="1" s="4" customFormat="1">
      <c r="A56" s="26"/>
      <c r="B56" s="27"/>
      <c r="C56" s="28"/>
      <c r="D56" s="29"/>
      <c r="E56" s="29"/>
      <c r="F56" s="30"/>
      <c r="G56" s="28"/>
      <c r="H56" s="29"/>
      <c r="I56" s="28"/>
      <c r="J56" s="31"/>
      <c r="K56" s="27"/>
      <c r="L56" s="28"/>
      <c r="M56" s="29"/>
      <c r="N56" s="29"/>
      <c r="O56" s="28"/>
      <c r="P56" s="28"/>
      <c r="Q56" s="29"/>
      <c r="R56" s="28"/>
      <c r="S56" s="31"/>
    </row>
    <row r="57" ht="15" customHeight="1" s="4" customFormat="1">
      <c r="A57" s="26"/>
      <c r="B57" s="27"/>
      <c r="C57" s="28"/>
      <c r="D57" s="29"/>
      <c r="E57" s="29"/>
      <c r="F57" s="30"/>
      <c r="G57" s="28"/>
      <c r="H57" s="29"/>
      <c r="I57" s="28"/>
      <c r="J57" s="31"/>
      <c r="K57" s="27"/>
      <c r="L57" s="28"/>
      <c r="M57" s="29"/>
      <c r="N57" s="29"/>
      <c r="O57" s="28"/>
      <c r="P57" s="28"/>
      <c r="Q57" s="29"/>
      <c r="R57" s="28"/>
      <c r="S57" s="31"/>
    </row>
    <row r="58" ht="15" customHeight="1" s="4" customFormat="1">
      <c r="A58" s="26"/>
      <c r="B58" s="27"/>
      <c r="C58" s="28"/>
      <c r="D58" s="29"/>
      <c r="E58" s="29"/>
      <c r="F58" s="30"/>
      <c r="G58" s="28"/>
      <c r="H58" s="29"/>
      <c r="I58" s="28"/>
      <c r="J58" s="31"/>
      <c r="K58" s="27"/>
      <c r="L58" s="28"/>
      <c r="M58" s="29"/>
      <c r="N58" s="29"/>
      <c r="O58" s="28"/>
      <c r="P58" s="28"/>
      <c r="Q58" s="29"/>
      <c r="R58" s="28"/>
      <c r="S58" s="31"/>
    </row>
    <row r="59" ht="15" customHeight="1" s="4" customFormat="1">
      <c r="A59" s="26"/>
      <c r="B59" s="27"/>
      <c r="C59" s="28"/>
      <c r="D59" s="29"/>
      <c r="E59" s="29"/>
      <c r="F59" s="30"/>
      <c r="G59" s="28"/>
      <c r="H59" s="29"/>
      <c r="I59" s="28"/>
      <c r="J59" s="31"/>
      <c r="K59" s="27"/>
      <c r="L59" s="28"/>
      <c r="M59" s="29"/>
      <c r="N59" s="29"/>
      <c r="O59" s="28"/>
      <c r="P59" s="28"/>
      <c r="Q59" s="29"/>
      <c r="R59" s="28"/>
      <c r="S59" s="31"/>
    </row>
    <row r="60" ht="15" customHeight="1" s="4" customFormat="1">
      <c r="A60" s="26"/>
      <c r="B60" s="27"/>
      <c r="C60" s="28"/>
      <c r="D60" s="29"/>
      <c r="E60" s="29"/>
      <c r="F60" s="30"/>
      <c r="G60" s="28"/>
      <c r="H60" s="29"/>
      <c r="I60" s="28"/>
      <c r="J60" s="31"/>
      <c r="K60" s="27"/>
      <c r="L60" s="28"/>
      <c r="M60" s="29"/>
      <c r="N60" s="29"/>
      <c r="O60" s="28"/>
      <c r="P60" s="28"/>
      <c r="Q60" s="29"/>
      <c r="R60" s="28"/>
      <c r="S60" s="31"/>
    </row>
    <row r="61" ht="15" customHeight="1" s="4" customFormat="1">
      <c r="A61" s="26"/>
      <c r="B61" s="27"/>
      <c r="C61" s="28"/>
      <c r="D61" s="29"/>
      <c r="E61" s="29"/>
      <c r="F61" s="30"/>
      <c r="G61" s="28"/>
      <c r="H61" s="29"/>
      <c r="I61" s="28"/>
      <c r="J61" s="31"/>
      <c r="K61" s="27"/>
      <c r="L61" s="28"/>
      <c r="M61" s="29"/>
      <c r="N61" s="29"/>
      <c r="O61" s="28"/>
      <c r="P61" s="28"/>
      <c r="Q61" s="29"/>
      <c r="R61" s="28"/>
      <c r="S61" s="31"/>
    </row>
    <row r="62" ht="15" customHeight="1" s="4" customFormat="1">
      <c r="A62" s="26"/>
      <c r="B62" s="27"/>
      <c r="C62" s="28"/>
      <c r="D62" s="29"/>
      <c r="E62" s="29"/>
      <c r="F62" s="30"/>
      <c r="G62" s="28"/>
      <c r="H62" s="29"/>
      <c r="I62" s="28"/>
      <c r="J62" s="31"/>
      <c r="K62" s="27"/>
      <c r="L62" s="28"/>
      <c r="M62" s="29"/>
      <c r="N62" s="29"/>
      <c r="O62" s="28"/>
      <c r="P62" s="28"/>
      <c r="Q62" s="29"/>
      <c r="R62" s="28"/>
      <c r="S62" s="31"/>
    </row>
    <row r="63" ht="15" customHeight="1" s="4" customFormat="1">
      <c r="A63" s="26"/>
      <c r="B63" s="27"/>
      <c r="C63" s="28"/>
      <c r="D63" s="29"/>
      <c r="E63" s="29"/>
      <c r="F63" s="30"/>
      <c r="G63" s="28"/>
      <c r="H63" s="29"/>
      <c r="I63" s="28"/>
      <c r="J63" s="31"/>
      <c r="K63" s="27"/>
      <c r="L63" s="28"/>
      <c r="M63" s="29"/>
      <c r="N63" s="29"/>
      <c r="O63" s="28"/>
      <c r="P63" s="28"/>
      <c r="Q63" s="29"/>
      <c r="R63" s="28"/>
      <c r="S63" s="31"/>
    </row>
    <row r="64" ht="15" customHeight="1" s="4" customFormat="1">
      <c r="A64" s="26"/>
      <c r="B64" s="27"/>
      <c r="C64" s="28"/>
      <c r="D64" s="29"/>
      <c r="E64" s="29"/>
      <c r="F64" s="30"/>
      <c r="G64" s="28"/>
      <c r="H64" s="29"/>
      <c r="I64" s="28"/>
      <c r="J64" s="31"/>
      <c r="K64" s="27"/>
      <c r="L64" s="28"/>
      <c r="M64" s="29"/>
      <c r="N64" s="29"/>
      <c r="O64" s="28"/>
      <c r="P64" s="28"/>
      <c r="Q64" s="29"/>
      <c r="R64" s="28"/>
      <c r="S64" s="31"/>
    </row>
    <row r="65" ht="15" customHeight="1" s="4" customFormat="1">
      <c r="A65" s="26"/>
      <c r="B65" s="27"/>
      <c r="C65" s="28"/>
      <c r="D65" s="29"/>
      <c r="E65" s="29"/>
      <c r="F65" s="30"/>
      <c r="G65" s="28"/>
      <c r="H65" s="29"/>
      <c r="I65" s="28"/>
      <c r="J65" s="31"/>
      <c r="K65" s="27"/>
      <c r="L65" s="28"/>
      <c r="M65" s="29"/>
      <c r="N65" s="29"/>
      <c r="O65" s="28"/>
      <c r="P65" s="28"/>
      <c r="Q65" s="29"/>
      <c r="R65" s="28"/>
      <c r="S65" s="31"/>
    </row>
    <row r="66" ht="15" customHeight="1" s="4" customFormat="1">
      <c r="A66" s="26"/>
      <c r="B66" s="27"/>
      <c r="C66" s="28"/>
      <c r="D66" s="29"/>
      <c r="E66" s="29"/>
      <c r="F66" s="30"/>
      <c r="G66" s="28"/>
      <c r="H66" s="29"/>
      <c r="I66" s="28"/>
      <c r="J66" s="31"/>
      <c r="K66" s="27"/>
      <c r="L66" s="28"/>
      <c r="M66" s="29"/>
      <c r="N66" s="29"/>
      <c r="O66" s="28"/>
      <c r="P66" s="28"/>
      <c r="Q66" s="29"/>
      <c r="R66" s="28"/>
      <c r="S66" s="31"/>
    </row>
    <row r="67" ht="15" customHeight="1" s="4" customFormat="1">
      <c r="A67" s="26"/>
      <c r="B67" s="27"/>
      <c r="C67" s="28"/>
      <c r="D67" s="29"/>
      <c r="E67" s="29"/>
      <c r="F67" s="30"/>
      <c r="G67" s="28"/>
      <c r="H67" s="29"/>
      <c r="I67" s="28"/>
      <c r="J67" s="31"/>
      <c r="K67" s="27"/>
      <c r="L67" s="28"/>
      <c r="M67" s="29"/>
      <c r="N67" s="29"/>
      <c r="O67" s="28"/>
      <c r="P67" s="28"/>
      <c r="Q67" s="29"/>
      <c r="R67" s="28"/>
      <c r="S67" s="31"/>
    </row>
    <row r="68" ht="15" customHeight="1" s="4" customFormat="1">
      <c r="A68" s="26"/>
      <c r="B68" s="27"/>
      <c r="C68" s="28"/>
      <c r="D68" s="29"/>
      <c r="E68" s="29"/>
      <c r="F68" s="30"/>
      <c r="G68" s="28"/>
      <c r="H68" s="29"/>
      <c r="I68" s="28"/>
      <c r="J68" s="31"/>
      <c r="K68" s="27"/>
      <c r="L68" s="28"/>
      <c r="M68" s="29"/>
      <c r="N68" s="29"/>
      <c r="O68" s="28"/>
      <c r="P68" s="28"/>
      <c r="Q68" s="29"/>
      <c r="R68" s="28"/>
      <c r="S68" s="31"/>
    </row>
    <row r="69" ht="15" customHeight="1" s="4" customFormat="1">
      <c r="A69" s="26"/>
      <c r="B69" s="27"/>
      <c r="C69" s="28"/>
      <c r="D69" s="29"/>
      <c r="E69" s="29"/>
      <c r="F69" s="30"/>
      <c r="G69" s="28"/>
      <c r="H69" s="29"/>
      <c r="I69" s="28"/>
      <c r="J69" s="31"/>
      <c r="K69" s="27"/>
      <c r="L69" s="28"/>
      <c r="M69" s="29"/>
      <c r="N69" s="29"/>
      <c r="O69" s="28"/>
      <c r="P69" s="28"/>
      <c r="Q69" s="29"/>
      <c r="R69" s="28"/>
      <c r="S69" s="31"/>
    </row>
    <row r="70" ht="15" customHeight="1" s="4" customFormat="1">
      <c r="A70" s="67"/>
      <c r="B70" s="27"/>
      <c r="C70" s="28"/>
      <c r="D70" s="29"/>
      <c r="E70" s="29"/>
      <c r="F70" s="30"/>
      <c r="G70" s="28"/>
      <c r="H70" s="29"/>
      <c r="I70" s="28"/>
      <c r="J70" s="31"/>
      <c r="K70" s="27"/>
      <c r="L70" s="28"/>
      <c r="M70" s="29"/>
      <c r="N70" s="29"/>
      <c r="O70" s="28"/>
      <c r="P70" s="28"/>
      <c r="Q70" s="29"/>
      <c r="R70" s="28"/>
      <c r="S70" s="31"/>
    </row>
    <row r="71" ht="15" customHeight="1" s="4" customFormat="1">
      <c r="A71" s="67"/>
      <c r="B71" s="27"/>
      <c r="C71" s="28"/>
      <c r="D71" s="29"/>
      <c r="E71" s="29"/>
      <c r="F71" s="30"/>
      <c r="G71" s="28"/>
      <c r="H71" s="29"/>
      <c r="I71" s="28"/>
      <c r="J71" s="31"/>
      <c r="K71" s="27"/>
      <c r="L71" s="28"/>
      <c r="M71" s="29"/>
      <c r="N71" s="29"/>
      <c r="O71" s="28"/>
      <c r="P71" s="28"/>
      <c r="Q71" s="29"/>
      <c r="R71" s="28"/>
      <c r="S71" s="31"/>
    </row>
    <row r="72" ht="15" customHeight="1" s="4" customFormat="1">
      <c r="A72" s="67"/>
      <c r="B72" s="27"/>
      <c r="C72" s="28"/>
      <c r="D72" s="29"/>
      <c r="E72" s="29"/>
      <c r="F72" s="30"/>
      <c r="G72" s="28"/>
      <c r="H72" s="29"/>
      <c r="I72" s="28"/>
      <c r="J72" s="31"/>
      <c r="K72" s="27"/>
      <c r="L72" s="28"/>
      <c r="M72" s="29"/>
      <c r="N72" s="29"/>
      <c r="O72" s="28"/>
      <c r="P72" s="28"/>
      <c r="Q72" s="29"/>
      <c r="R72" s="28"/>
      <c r="S72" s="31"/>
    </row>
    <row r="73" ht="15" customHeight="1" s="4" customFormat="1">
      <c r="A73" s="67"/>
      <c r="B73" s="27"/>
      <c r="C73" s="28"/>
      <c r="D73" s="29"/>
      <c r="E73" s="29"/>
      <c r="F73" s="30"/>
      <c r="G73" s="28"/>
      <c r="H73" s="29"/>
      <c r="I73" s="28"/>
      <c r="J73" s="31"/>
      <c r="K73" s="27"/>
      <c r="L73" s="28"/>
      <c r="M73" s="29"/>
      <c r="N73" s="29"/>
      <c r="O73" s="28"/>
      <c r="P73" s="28"/>
      <c r="Q73" s="29"/>
      <c r="R73" s="28"/>
      <c r="S73" s="31"/>
    </row>
    <row r="74" ht="15" customHeight="1" s="4" customFormat="1">
      <c r="A74" s="67"/>
      <c r="B74" s="27"/>
      <c r="C74" s="28"/>
      <c r="D74" s="29"/>
      <c r="E74" s="29"/>
      <c r="F74" s="30"/>
      <c r="G74" s="28"/>
      <c r="H74" s="29"/>
      <c r="I74" s="28"/>
      <c r="J74" s="31"/>
      <c r="K74" s="27"/>
      <c r="L74" s="28"/>
      <c r="M74" s="29"/>
      <c r="N74" s="29"/>
      <c r="O74" s="28"/>
      <c r="P74" s="28"/>
      <c r="Q74" s="29"/>
      <c r="R74" s="28"/>
      <c r="S74" s="31"/>
    </row>
    <row r="75" ht="15" customHeight="1" s="4" customFormat="1">
      <c r="A75" s="67"/>
      <c r="B75" s="27"/>
      <c r="C75" s="28"/>
      <c r="D75" s="29"/>
      <c r="E75" s="29"/>
      <c r="F75" s="30"/>
      <c r="G75" s="28"/>
      <c r="H75" s="29"/>
      <c r="I75" s="28"/>
      <c r="J75" s="31"/>
      <c r="K75" s="27"/>
      <c r="L75" s="28"/>
      <c r="M75" s="29"/>
      <c r="N75" s="29"/>
      <c r="O75" s="28"/>
      <c r="P75" s="28"/>
      <c r="Q75" s="29"/>
      <c r="R75" s="28"/>
      <c r="S75" s="31"/>
    </row>
    <row r="76" ht="15" customHeight="1" s="4" customFormat="1">
      <c r="A76" s="67"/>
      <c r="B76" s="27"/>
      <c r="C76" s="28"/>
      <c r="D76" s="29"/>
      <c r="E76" s="29"/>
      <c r="F76" s="30"/>
      <c r="G76" s="28"/>
      <c r="H76" s="29"/>
      <c r="I76" s="28"/>
      <c r="J76" s="31"/>
      <c r="K76" s="27"/>
      <c r="L76" s="28"/>
      <c r="M76" s="29"/>
      <c r="N76" s="29"/>
      <c r="O76" s="28"/>
      <c r="P76" s="28"/>
      <c r="Q76" s="29"/>
      <c r="R76" s="28"/>
      <c r="S76" s="31"/>
    </row>
    <row r="77" ht="15" customHeight="1" s="4" customFormat="1">
      <c r="A77" s="67"/>
      <c r="B77" s="27"/>
      <c r="C77" s="28"/>
      <c r="D77" s="29"/>
      <c r="E77" s="29"/>
      <c r="F77" s="30"/>
      <c r="G77" s="28"/>
      <c r="H77" s="29"/>
      <c r="I77" s="28"/>
      <c r="J77" s="31"/>
      <c r="K77" s="27"/>
      <c r="L77" s="28"/>
      <c r="M77" s="29"/>
      <c r="N77" s="29"/>
      <c r="O77" s="28"/>
      <c r="P77" s="28"/>
      <c r="Q77" s="29"/>
      <c r="R77" s="28"/>
      <c r="S77" s="31"/>
    </row>
    <row r="78" ht="15" customHeight="1" s="4" customFormat="1">
      <c r="A78" s="67"/>
      <c r="B78" s="27"/>
      <c r="C78" s="28"/>
      <c r="D78" s="29"/>
      <c r="E78" s="29"/>
      <c r="F78" s="30"/>
      <c r="G78" s="28"/>
      <c r="H78" s="29"/>
      <c r="I78" s="28"/>
      <c r="J78" s="31"/>
      <c r="K78" s="27"/>
      <c r="L78" s="28"/>
      <c r="M78" s="29"/>
      <c r="N78" s="29"/>
      <c r="O78" s="28"/>
      <c r="P78" s="28"/>
      <c r="Q78" s="29"/>
      <c r="R78" s="28"/>
      <c r="S78" s="31"/>
    </row>
    <row r="79" ht="15" customHeight="1" s="4" customFormat="1">
      <c r="A79" s="67"/>
      <c r="B79" s="27"/>
      <c r="C79" s="28"/>
      <c r="D79" s="29"/>
      <c r="E79" s="29"/>
      <c r="F79" s="30"/>
      <c r="G79" s="28"/>
      <c r="H79" s="29"/>
      <c r="I79" s="28"/>
      <c r="J79" s="31"/>
      <c r="K79" s="27"/>
      <c r="L79" s="28"/>
      <c r="M79" s="29"/>
      <c r="N79" s="29"/>
      <c r="O79" s="28"/>
      <c r="P79" s="28"/>
      <c r="Q79" s="29"/>
      <c r="R79" s="28"/>
      <c r="S79" s="31"/>
    </row>
    <row r="80" ht="15" customHeight="1" s="4" customFormat="1">
      <c r="A80" s="67"/>
      <c r="B80" s="27"/>
      <c r="C80" s="28"/>
      <c r="D80" s="29"/>
      <c r="E80" s="29"/>
      <c r="F80" s="30"/>
      <c r="G80" s="28"/>
      <c r="H80" s="29"/>
      <c r="I80" s="28"/>
      <c r="J80" s="31"/>
      <c r="K80" s="27"/>
      <c r="L80" s="28"/>
      <c r="M80" s="29"/>
      <c r="N80" s="29"/>
      <c r="O80" s="28"/>
      <c r="P80" s="28"/>
      <c r="Q80" s="29"/>
      <c r="R80" s="28"/>
      <c r="S80" s="31"/>
    </row>
    <row r="81" ht="15" customHeight="1" s="4" customFormat="1">
      <c r="A81" s="67"/>
      <c r="B81" s="27"/>
      <c r="C81" s="28"/>
      <c r="D81" s="29"/>
      <c r="E81" s="29"/>
      <c r="F81" s="30"/>
      <c r="G81" s="28"/>
      <c r="H81" s="29"/>
      <c r="I81" s="28"/>
      <c r="J81" s="31"/>
      <c r="K81" s="27"/>
      <c r="L81" s="28"/>
      <c r="M81" s="29"/>
      <c r="N81" s="29"/>
      <c r="O81" s="28"/>
      <c r="P81" s="28"/>
      <c r="Q81" s="29"/>
      <c r="R81" s="28"/>
      <c r="S81" s="31"/>
    </row>
    <row r="82" ht="15" customHeight="1" s="4" customFormat="1">
      <c r="A82" s="67"/>
      <c r="B82" s="27"/>
      <c r="C82" s="28"/>
      <c r="D82" s="29"/>
      <c r="E82" s="29"/>
      <c r="F82" s="30"/>
      <c r="G82" s="28"/>
      <c r="H82" s="29"/>
      <c r="I82" s="28"/>
      <c r="J82" s="31"/>
      <c r="K82" s="27"/>
      <c r="L82" s="28"/>
      <c r="M82" s="29"/>
      <c r="N82" s="29"/>
      <c r="O82" s="28"/>
      <c r="P82" s="28"/>
      <c r="Q82" s="29"/>
      <c r="R82" s="28"/>
      <c r="S82" s="31"/>
    </row>
    <row r="83" ht="15" customHeight="1" s="4" customFormat="1">
      <c r="A83" s="67"/>
      <c r="B83" s="27"/>
      <c r="C83" s="28"/>
      <c r="D83" s="29"/>
      <c r="E83" s="29"/>
      <c r="F83" s="30"/>
      <c r="G83" s="28"/>
      <c r="H83" s="29"/>
      <c r="I83" s="28"/>
      <c r="J83" s="31"/>
      <c r="K83" s="27"/>
      <c r="L83" s="28"/>
      <c r="M83" s="29"/>
      <c r="N83" s="29"/>
      <c r="O83" s="28"/>
      <c r="P83" s="28"/>
      <c r="Q83" s="29"/>
      <c r="R83" s="28"/>
      <c r="S83" s="31"/>
    </row>
    <row r="84" ht="15" customHeight="1" s="4" customFormat="1">
      <c r="A84" s="67"/>
      <c r="B84" s="27"/>
      <c r="C84" s="28"/>
      <c r="D84" s="29"/>
      <c r="E84" s="29"/>
      <c r="F84" s="30"/>
      <c r="G84" s="28"/>
      <c r="H84" s="29"/>
      <c r="I84" s="28"/>
      <c r="J84" s="31"/>
      <c r="K84" s="27"/>
      <c r="L84" s="28"/>
      <c r="M84" s="29"/>
      <c r="N84" s="29"/>
      <c r="O84" s="28"/>
      <c r="P84" s="28"/>
      <c r="Q84" s="29"/>
      <c r="R84" s="28"/>
      <c r="S84" s="31"/>
    </row>
    <row r="85" ht="15" customHeight="1" s="4" customFormat="1">
      <c r="A85" s="67"/>
      <c r="B85" s="27"/>
      <c r="C85" s="28"/>
      <c r="D85" s="29"/>
      <c r="E85" s="29"/>
      <c r="F85" s="30"/>
      <c r="G85" s="28"/>
      <c r="H85" s="29"/>
      <c r="I85" s="28"/>
      <c r="J85" s="31"/>
      <c r="K85" s="27"/>
      <c r="L85" s="28"/>
      <c r="M85" s="29"/>
      <c r="N85" s="29"/>
      <c r="O85" s="28"/>
      <c r="P85" s="28"/>
      <c r="Q85" s="29"/>
      <c r="R85" s="28"/>
      <c r="S85" s="31"/>
    </row>
    <row r="86" ht="15" customHeight="1" s="4" customFormat="1">
      <c r="A86" s="67"/>
      <c r="B86" s="27"/>
      <c r="C86" s="28"/>
      <c r="D86" s="29"/>
      <c r="E86" s="29"/>
      <c r="F86" s="30"/>
      <c r="G86" s="28"/>
      <c r="H86" s="29"/>
      <c r="I86" s="28"/>
      <c r="J86" s="31"/>
      <c r="K86" s="27"/>
      <c r="L86" s="28"/>
      <c r="M86" s="29"/>
      <c r="N86" s="29"/>
      <c r="O86" s="28"/>
      <c r="P86" s="28"/>
      <c r="Q86" s="29"/>
      <c r="R86" s="28"/>
      <c r="S86" s="31"/>
    </row>
    <row r="87" ht="15" customHeight="1" s="4" customFormat="1">
      <c r="A87" s="67"/>
      <c r="B87" s="27"/>
      <c r="C87" s="28"/>
      <c r="D87" s="29"/>
      <c r="E87" s="29"/>
      <c r="F87" s="30"/>
      <c r="G87" s="28"/>
      <c r="H87" s="29"/>
      <c r="I87" s="28"/>
      <c r="J87" s="31"/>
      <c r="K87" s="27"/>
      <c r="L87" s="28"/>
      <c r="M87" s="29"/>
      <c r="N87" s="29"/>
      <c r="O87" s="28"/>
      <c r="P87" s="28"/>
      <c r="Q87" s="29"/>
      <c r="R87" s="28"/>
      <c r="S87" s="31"/>
    </row>
    <row r="88" ht="15" customHeight="1" s="4" customFormat="1">
      <c r="A88" s="67"/>
      <c r="B88" s="27"/>
      <c r="C88" s="28"/>
      <c r="D88" s="29"/>
      <c r="E88" s="29"/>
      <c r="F88" s="30"/>
      <c r="G88" s="28"/>
      <c r="H88" s="29"/>
      <c r="I88" s="28"/>
      <c r="J88" s="31"/>
      <c r="K88" s="27"/>
      <c r="L88" s="28"/>
      <c r="M88" s="29"/>
      <c r="N88" s="29"/>
      <c r="O88" s="28"/>
      <c r="P88" s="28"/>
      <c r="Q88" s="29"/>
      <c r="R88" s="28"/>
      <c r="S88" s="31"/>
    </row>
    <row r="89" ht="15" customHeight="1" s="4" customFormat="1">
      <c r="A89" s="67"/>
      <c r="B89" s="27"/>
      <c r="C89" s="28"/>
      <c r="D89" s="29"/>
      <c r="E89" s="29"/>
      <c r="F89" s="30"/>
      <c r="G89" s="28"/>
      <c r="H89" s="29"/>
      <c r="I89" s="28"/>
      <c r="J89" s="31"/>
      <c r="K89" s="27"/>
      <c r="L89" s="28"/>
      <c r="M89" s="29"/>
      <c r="N89" s="29"/>
      <c r="O89" s="28"/>
      <c r="P89" s="28"/>
      <c r="Q89" s="29"/>
      <c r="R89" s="28"/>
      <c r="S89" s="31"/>
    </row>
    <row r="90" ht="15" customHeight="1" s="4" customFormat="1">
      <c r="A90" s="67"/>
      <c r="B90" s="27"/>
      <c r="C90" s="28"/>
      <c r="D90" s="29"/>
      <c r="E90" s="29"/>
      <c r="F90" s="30"/>
      <c r="G90" s="28"/>
      <c r="H90" s="29"/>
      <c r="I90" s="28"/>
      <c r="J90" s="31"/>
      <c r="K90" s="27"/>
      <c r="L90" s="28"/>
      <c r="M90" s="29"/>
      <c r="N90" s="29"/>
      <c r="O90" s="28"/>
      <c r="P90" s="28"/>
      <c r="Q90" s="29"/>
      <c r="R90" s="28"/>
      <c r="S90" s="31"/>
    </row>
    <row r="91" ht="15" customHeight="1" s="4" customFormat="1">
      <c r="A91" s="67"/>
      <c r="B91" s="27"/>
      <c r="C91" s="28"/>
      <c r="D91" s="29"/>
      <c r="E91" s="29"/>
      <c r="F91" s="30"/>
      <c r="G91" s="28"/>
      <c r="H91" s="29"/>
      <c r="I91" s="28"/>
      <c r="J91" s="31"/>
      <c r="K91" s="27"/>
      <c r="L91" s="28"/>
      <c r="M91" s="29"/>
      <c r="N91" s="29"/>
      <c r="O91" s="28"/>
      <c r="P91" s="28"/>
      <c r="Q91" s="29"/>
      <c r="R91" s="28"/>
      <c r="S91" s="31"/>
    </row>
    <row r="92" ht="15" customHeight="1" s="4" customFormat="1">
      <c r="A92" s="67"/>
      <c r="B92" s="27"/>
      <c r="C92" s="28"/>
      <c r="D92" s="29"/>
      <c r="E92" s="29"/>
      <c r="F92" s="30"/>
      <c r="G92" s="28"/>
      <c r="H92" s="29"/>
      <c r="I92" s="28"/>
      <c r="J92" s="31"/>
      <c r="K92" s="27"/>
      <c r="L92" s="28"/>
      <c r="M92" s="29"/>
      <c r="N92" s="29"/>
      <c r="O92" s="28"/>
      <c r="P92" s="28"/>
      <c r="Q92" s="29"/>
      <c r="R92" s="28"/>
      <c r="S92" s="31"/>
    </row>
    <row r="93" ht="15" customHeight="1" s="4" customFormat="1">
      <c r="A93" s="67"/>
      <c r="B93" s="27"/>
      <c r="C93" s="28"/>
      <c r="D93" s="29"/>
      <c r="E93" s="29"/>
      <c r="F93" s="30"/>
      <c r="G93" s="28"/>
      <c r="H93" s="29"/>
      <c r="I93" s="28"/>
      <c r="J93" s="31"/>
      <c r="K93" s="27"/>
      <c r="L93" s="28"/>
      <c r="M93" s="29"/>
      <c r="N93" s="29"/>
      <c r="O93" s="28"/>
      <c r="P93" s="28"/>
      <c r="Q93" s="29"/>
      <c r="R93" s="28"/>
      <c r="S93" s="31"/>
    </row>
    <row r="94" ht="15" customHeight="1" s="4" customFormat="1">
      <c r="A94" s="67"/>
      <c r="B94" s="27"/>
      <c r="C94" s="28"/>
      <c r="D94" s="29"/>
      <c r="E94" s="29"/>
      <c r="F94" s="30"/>
      <c r="G94" s="28"/>
      <c r="H94" s="29"/>
      <c r="I94" s="28"/>
      <c r="J94" s="31"/>
      <c r="K94" s="27"/>
      <c r="L94" s="28"/>
      <c r="M94" s="29"/>
      <c r="N94" s="29"/>
      <c r="O94" s="28"/>
      <c r="P94" s="28"/>
      <c r="Q94" s="29"/>
      <c r="R94" s="28"/>
      <c r="S94" s="31"/>
    </row>
    <row r="95" ht="15" customHeight="1" s="4" customFormat="1">
      <c r="A95" s="67"/>
      <c r="B95" s="27"/>
      <c r="C95" s="28"/>
      <c r="D95" s="29"/>
      <c r="E95" s="29"/>
      <c r="F95" s="30"/>
      <c r="G95" s="28"/>
      <c r="H95" s="29"/>
      <c r="I95" s="28"/>
      <c r="J95" s="31"/>
      <c r="K95" s="27"/>
      <c r="L95" s="28"/>
      <c r="M95" s="29"/>
      <c r="N95" s="29"/>
      <c r="O95" s="28"/>
      <c r="P95" s="28"/>
      <c r="Q95" s="29"/>
      <c r="R95" s="28"/>
      <c r="S95" s="31"/>
    </row>
    <row r="96" ht="15" customHeight="1" s="4" customFormat="1">
      <c r="A96" s="67"/>
      <c r="B96" s="27"/>
      <c r="C96" s="28"/>
      <c r="D96" s="29"/>
      <c r="E96" s="29"/>
      <c r="F96" s="30"/>
      <c r="G96" s="28"/>
      <c r="H96" s="29"/>
      <c r="I96" s="28"/>
      <c r="J96" s="31"/>
      <c r="K96" s="27"/>
      <c r="L96" s="28"/>
      <c r="M96" s="29"/>
      <c r="N96" s="29"/>
      <c r="O96" s="28"/>
      <c r="P96" s="28"/>
      <c r="Q96" s="29"/>
      <c r="R96" s="28"/>
      <c r="S96" s="31"/>
    </row>
    <row r="97" ht="15" customHeight="1" s="4" customFormat="1">
      <c r="A97" s="67"/>
      <c r="B97" s="27"/>
      <c r="C97" s="28"/>
      <c r="D97" s="29"/>
      <c r="E97" s="29"/>
      <c r="F97" s="30"/>
      <c r="G97" s="28"/>
      <c r="H97" s="29"/>
      <c r="I97" s="28"/>
      <c r="J97" s="31"/>
      <c r="K97" s="27"/>
      <c r="L97" s="28"/>
      <c r="M97" s="29"/>
      <c r="N97" s="29"/>
      <c r="O97" s="28"/>
      <c r="P97" s="28"/>
      <c r="Q97" s="29"/>
      <c r="R97" s="28"/>
      <c r="S97" s="31"/>
    </row>
    <row r="98" ht="15" customHeight="1" s="4" customFormat="1">
      <c r="A98" s="67"/>
      <c r="B98" s="27"/>
      <c r="C98" s="28"/>
      <c r="D98" s="29"/>
      <c r="E98" s="29"/>
      <c r="F98" s="30"/>
      <c r="G98" s="28"/>
      <c r="H98" s="29"/>
      <c r="I98" s="28"/>
      <c r="J98" s="31"/>
      <c r="K98" s="27"/>
      <c r="L98" s="28"/>
      <c r="M98" s="29"/>
      <c r="N98" s="29"/>
      <c r="O98" s="28"/>
      <c r="P98" s="28"/>
      <c r="Q98" s="29"/>
      <c r="R98" s="28"/>
      <c r="S98" s="31"/>
    </row>
    <row r="99" ht="15" customHeight="1" s="4" customFormat="1">
      <c r="A99" s="67"/>
      <c r="B99" s="27"/>
      <c r="C99" s="28"/>
      <c r="D99" s="29"/>
      <c r="E99" s="29"/>
      <c r="F99" s="30"/>
      <c r="G99" s="28"/>
      <c r="H99" s="29"/>
      <c r="I99" s="28"/>
      <c r="J99" s="31"/>
      <c r="K99" s="27"/>
      <c r="L99" s="28"/>
      <c r="M99" s="29"/>
      <c r="N99" s="29"/>
      <c r="O99" s="28"/>
      <c r="P99" s="28"/>
      <c r="Q99" s="29"/>
      <c r="R99" s="28"/>
      <c r="S99" s="31"/>
    </row>
    <row r="100" ht="15" customHeight="1" s="4" customFormat="1">
      <c r="A100" s="67"/>
      <c r="B100" s="27"/>
      <c r="C100" s="28"/>
      <c r="D100" s="29"/>
      <c r="E100" s="29"/>
      <c r="F100" s="30"/>
      <c r="G100" s="28"/>
      <c r="H100" s="29"/>
      <c r="I100" s="28"/>
      <c r="J100" s="31"/>
      <c r="K100" s="27"/>
      <c r="L100" s="28"/>
      <c r="M100" s="29"/>
      <c r="N100" s="29"/>
      <c r="O100" s="28"/>
      <c r="P100" s="28"/>
      <c r="Q100" s="29"/>
      <c r="R100" s="28"/>
      <c r="S100" s="31"/>
    </row>
    <row r="101" ht="15" customHeight="1" s="4" customFormat="1">
      <c r="A101" s="67"/>
      <c r="B101" s="27"/>
      <c r="C101" s="28"/>
      <c r="D101" s="29"/>
      <c r="E101" s="29"/>
      <c r="F101" s="30"/>
      <c r="G101" s="28"/>
      <c r="H101" s="29"/>
      <c r="I101" s="28"/>
      <c r="J101" s="31"/>
      <c r="K101" s="27"/>
      <c r="L101" s="28"/>
      <c r="M101" s="29"/>
      <c r="N101" s="29"/>
      <c r="O101" s="28"/>
      <c r="P101" s="28"/>
      <c r="Q101" s="29"/>
      <c r="R101" s="28"/>
      <c r="S101" s="31"/>
    </row>
    <row r="102" ht="15" customHeight="1" s="4" customFormat="1">
      <c r="A102" s="67"/>
      <c r="B102" s="27"/>
      <c r="C102" s="28"/>
      <c r="D102" s="29"/>
      <c r="E102" s="29"/>
      <c r="F102" s="30"/>
      <c r="G102" s="28"/>
      <c r="H102" s="29"/>
      <c r="I102" s="28"/>
      <c r="J102" s="31"/>
      <c r="K102" s="27"/>
      <c r="L102" s="28"/>
      <c r="M102" s="29"/>
      <c r="N102" s="29"/>
      <c r="O102" s="28"/>
      <c r="P102" s="28"/>
      <c r="Q102" s="29"/>
      <c r="R102" s="28"/>
      <c r="S102" s="31"/>
    </row>
    <row r="103" ht="15" customHeight="1" s="4" customFormat="1">
      <c r="A103" s="67"/>
      <c r="B103" s="27"/>
      <c r="C103" s="28"/>
      <c r="D103" s="29"/>
      <c r="E103" s="29"/>
      <c r="F103" s="30"/>
      <c r="G103" s="28"/>
      <c r="H103" s="29"/>
      <c r="I103" s="28"/>
      <c r="J103" s="31"/>
      <c r="K103" s="27"/>
      <c r="L103" s="28"/>
      <c r="M103" s="29"/>
      <c r="N103" s="29"/>
      <c r="O103" s="28"/>
      <c r="P103" s="28"/>
      <c r="Q103" s="29"/>
      <c r="R103" s="28"/>
      <c r="S103" s="31"/>
    </row>
    <row r="104" ht="15" customHeight="1" s="4" customFormat="1">
      <c r="A104" s="67"/>
      <c r="B104" s="27"/>
      <c r="C104" s="28"/>
      <c r="D104" s="29"/>
      <c r="E104" s="29"/>
      <c r="F104" s="30"/>
      <c r="G104" s="28"/>
      <c r="H104" s="29"/>
      <c r="I104" s="28"/>
      <c r="J104" s="31"/>
      <c r="K104" s="27"/>
      <c r="L104" s="28"/>
      <c r="M104" s="29"/>
      <c r="N104" s="29"/>
      <c r="O104" s="28"/>
      <c r="P104" s="28"/>
      <c r="Q104" s="29"/>
      <c r="R104" s="28"/>
      <c r="S104" s="31"/>
    </row>
    <row r="105" ht="15" customHeight="1" s="4" customFormat="1">
      <c r="A105" s="67"/>
      <c r="B105" s="27"/>
      <c r="C105" s="28"/>
      <c r="D105" s="29"/>
      <c r="E105" s="29"/>
      <c r="F105" s="30"/>
      <c r="G105" s="28"/>
      <c r="H105" s="29"/>
      <c r="I105" s="28"/>
      <c r="J105" s="31"/>
      <c r="K105" s="27"/>
      <c r="L105" s="28"/>
      <c r="M105" s="29"/>
      <c r="N105" s="29"/>
      <c r="O105" s="28"/>
      <c r="P105" s="28"/>
      <c r="Q105" s="29"/>
      <c r="R105" s="28"/>
      <c r="S105" s="31"/>
    </row>
    <row r="106" ht="15" customHeight="1" s="4" customFormat="1">
      <c r="A106" s="67"/>
      <c r="B106" s="27"/>
      <c r="C106" s="28"/>
      <c r="D106" s="29"/>
      <c r="E106" s="29"/>
      <c r="F106" s="30"/>
      <c r="G106" s="28"/>
      <c r="H106" s="29"/>
      <c r="I106" s="28"/>
      <c r="J106" s="31"/>
      <c r="K106" s="27"/>
      <c r="L106" s="28"/>
      <c r="M106" s="29"/>
      <c r="N106" s="29"/>
      <c r="O106" s="28"/>
      <c r="P106" s="28"/>
      <c r="Q106" s="29"/>
      <c r="R106" s="28"/>
      <c r="S106" s="31"/>
    </row>
    <row r="107" ht="15" customHeight="1" s="4" customFormat="1">
      <c r="A107" s="67"/>
      <c r="B107" s="27"/>
      <c r="C107" s="28"/>
      <c r="D107" s="29"/>
      <c r="E107" s="29"/>
      <c r="F107" s="30"/>
      <c r="G107" s="28"/>
      <c r="H107" s="29"/>
      <c r="I107" s="28"/>
      <c r="J107" s="31"/>
      <c r="K107" s="27"/>
      <c r="L107" s="28"/>
      <c r="M107" s="29"/>
      <c r="N107" s="29"/>
      <c r="O107" s="28"/>
      <c r="P107" s="28"/>
      <c r="Q107" s="29"/>
      <c r="R107" s="28"/>
      <c r="S107" s="31"/>
    </row>
    <row r="108" ht="15" customHeight="1" s="4" customFormat="1">
      <c r="A108" s="26"/>
      <c r="B108" s="27"/>
      <c r="C108" s="28"/>
      <c r="D108" s="29"/>
      <c r="E108" s="29"/>
      <c r="F108" s="30"/>
      <c r="G108" s="28"/>
      <c r="H108" s="29"/>
      <c r="I108" s="28"/>
      <c r="J108" s="31"/>
      <c r="K108" s="27"/>
      <c r="L108" s="28"/>
      <c r="M108" s="29"/>
      <c r="N108" s="29"/>
      <c r="O108" s="28"/>
      <c r="P108" s="28"/>
      <c r="Q108" s="29"/>
      <c r="R108" s="28"/>
      <c r="S108" s="31"/>
    </row>
    <row r="109" ht="15" customHeight="1" s="4" customFormat="1">
      <c r="A109" s="67"/>
      <c r="B109" s="27"/>
      <c r="C109" s="28"/>
      <c r="D109" s="29"/>
      <c r="E109" s="29"/>
      <c r="F109" s="30"/>
      <c r="G109" s="28"/>
      <c r="H109" s="29"/>
      <c r="I109" s="28"/>
      <c r="J109" s="31"/>
      <c r="K109" s="27"/>
      <c r="L109" s="28"/>
      <c r="M109" s="29"/>
      <c r="N109" s="29"/>
      <c r="O109" s="28"/>
      <c r="P109" s="28"/>
      <c r="Q109" s="29"/>
      <c r="R109" s="28"/>
      <c r="S109" s="31"/>
    </row>
    <row r="110" ht="15" customHeight="1" s="4" customFormat="1">
      <c r="A110" s="67"/>
      <c r="B110" s="27"/>
      <c r="C110" s="28"/>
      <c r="D110" s="29"/>
      <c r="E110" s="29"/>
      <c r="F110" s="30"/>
      <c r="G110" s="28"/>
      <c r="H110" s="29"/>
      <c r="I110" s="28"/>
      <c r="J110" s="31"/>
      <c r="K110" s="27"/>
      <c r="L110" s="28"/>
      <c r="M110" s="29"/>
      <c r="N110" s="29"/>
      <c r="O110" s="28"/>
      <c r="P110" s="28"/>
      <c r="Q110" s="29"/>
      <c r="R110" s="28"/>
      <c r="S110" s="31"/>
    </row>
    <row r="111" ht="15" customHeight="1" s="4" customFormat="1">
      <c r="A111" s="67"/>
      <c r="B111" s="27"/>
      <c r="C111" s="28"/>
      <c r="D111" s="29"/>
      <c r="E111" s="29"/>
      <c r="F111" s="30"/>
      <c r="G111" s="28"/>
      <c r="H111" s="29"/>
      <c r="I111" s="28"/>
      <c r="J111" s="31"/>
      <c r="K111" s="27"/>
      <c r="L111" s="28"/>
      <c r="M111" s="29"/>
      <c r="N111" s="29"/>
      <c r="O111" s="28"/>
      <c r="P111" s="28"/>
      <c r="Q111" s="29"/>
      <c r="R111" s="28"/>
      <c r="S111" s="31"/>
    </row>
    <row r="112" ht="15" customHeight="1" s="4" customFormat="1">
      <c r="A112" s="67"/>
      <c r="B112" s="27"/>
      <c r="C112" s="28"/>
      <c r="D112" s="29"/>
      <c r="E112" s="29"/>
      <c r="F112" s="30"/>
      <c r="G112" s="28"/>
      <c r="H112" s="29"/>
      <c r="I112" s="28"/>
      <c r="J112" s="31"/>
      <c r="K112" s="27"/>
      <c r="L112" s="28"/>
      <c r="M112" s="29"/>
      <c r="N112" s="29"/>
      <c r="O112" s="28"/>
      <c r="P112" s="28"/>
      <c r="Q112" s="29"/>
      <c r="R112" s="28"/>
      <c r="S112" s="31"/>
    </row>
    <row r="113" ht="15" customHeight="1" s="4" customFormat="1">
      <c r="A113" s="67"/>
      <c r="B113" s="27"/>
      <c r="C113" s="28"/>
      <c r="D113" s="29"/>
      <c r="E113" s="29"/>
      <c r="F113" s="30"/>
      <c r="G113" s="28"/>
      <c r="H113" s="29"/>
      <c r="I113" s="28"/>
      <c r="J113" s="31"/>
      <c r="K113" s="27"/>
      <c r="L113" s="28"/>
      <c r="M113" s="29"/>
      <c r="N113" s="29"/>
      <c r="O113" s="28"/>
      <c r="P113" s="28"/>
      <c r="Q113" s="29"/>
      <c r="R113" s="28"/>
      <c r="S113" s="31"/>
    </row>
    <row r="114" ht="15" customHeight="1" s="4" customFormat="1">
      <c r="A114" s="67"/>
      <c r="B114" s="27"/>
      <c r="C114" s="28"/>
      <c r="D114" s="29"/>
      <c r="E114" s="29"/>
      <c r="F114" s="30"/>
      <c r="G114" s="28"/>
      <c r="H114" s="29"/>
      <c r="I114" s="28"/>
      <c r="J114" s="31"/>
      <c r="K114" s="27"/>
      <c r="L114" s="28"/>
      <c r="M114" s="29"/>
      <c r="N114" s="29"/>
      <c r="O114" s="28"/>
      <c r="P114" s="28"/>
      <c r="Q114" s="29"/>
      <c r="R114" s="28"/>
      <c r="S114" s="31"/>
    </row>
    <row r="115" ht="15" customHeight="1" s="4" customFormat="1">
      <c r="A115" s="67"/>
      <c r="B115" s="27"/>
      <c r="C115" s="28"/>
      <c r="D115" s="29"/>
      <c r="E115" s="29"/>
      <c r="F115" s="30"/>
      <c r="G115" s="28"/>
      <c r="H115" s="29"/>
      <c r="I115" s="28"/>
      <c r="J115" s="31"/>
      <c r="K115" s="27"/>
      <c r="L115" s="28"/>
      <c r="M115" s="29"/>
      <c r="N115" s="29"/>
      <c r="O115" s="28"/>
      <c r="P115" s="28"/>
      <c r="Q115" s="29"/>
      <c r="R115" s="28"/>
      <c r="S115" s="31"/>
    </row>
    <row r="116" ht="15" customHeight="1" s="4" customFormat="1">
      <c r="A116" s="67"/>
      <c r="B116" s="27"/>
      <c r="C116" s="28"/>
      <c r="D116" s="29"/>
      <c r="E116" s="29"/>
      <c r="F116" s="30"/>
      <c r="G116" s="28"/>
      <c r="H116" s="29"/>
      <c r="I116" s="28"/>
      <c r="J116" s="31"/>
      <c r="K116" s="27"/>
      <c r="L116" s="28"/>
      <c r="M116" s="29"/>
      <c r="N116" s="29"/>
      <c r="O116" s="28"/>
      <c r="P116" s="28"/>
      <c r="Q116" s="29"/>
      <c r="R116" s="28"/>
      <c r="S116" s="31"/>
    </row>
    <row r="117" ht="15" customHeight="1" s="4" customFormat="1">
      <c r="A117" s="67"/>
      <c r="B117" s="27"/>
      <c r="C117" s="28"/>
      <c r="D117" s="29"/>
      <c r="E117" s="29"/>
      <c r="F117" s="30"/>
      <c r="G117" s="28"/>
      <c r="H117" s="29"/>
      <c r="I117" s="28"/>
      <c r="J117" s="31"/>
      <c r="K117" s="27"/>
      <c r="L117" s="28"/>
      <c r="M117" s="29"/>
      <c r="N117" s="29"/>
      <c r="O117" s="28"/>
      <c r="P117" s="28"/>
      <c r="Q117" s="29"/>
      <c r="R117" s="28"/>
      <c r="S117" s="31"/>
    </row>
    <row r="118" ht="15" customHeight="1" s="4" customFormat="1">
      <c r="A118" s="67"/>
      <c r="B118" s="27"/>
      <c r="C118" s="28"/>
      <c r="D118" s="29"/>
      <c r="E118" s="29"/>
      <c r="F118" s="30"/>
      <c r="G118" s="28"/>
      <c r="H118" s="29"/>
      <c r="I118" s="28"/>
      <c r="J118" s="31"/>
      <c r="K118" s="27"/>
      <c r="L118" s="28"/>
      <c r="M118" s="29"/>
      <c r="N118" s="29"/>
      <c r="O118" s="28"/>
      <c r="P118" s="28"/>
      <c r="Q118" s="29"/>
      <c r="R118" s="28"/>
      <c r="S118" s="31"/>
    </row>
    <row r="119" ht="15" customHeight="1" s="4" customFormat="1">
      <c r="A119" s="67"/>
      <c r="B119" s="27"/>
      <c r="C119" s="28"/>
      <c r="D119" s="29"/>
      <c r="E119" s="29"/>
      <c r="F119" s="30"/>
      <c r="G119" s="28"/>
      <c r="H119" s="29"/>
      <c r="I119" s="28"/>
      <c r="J119" s="31"/>
      <c r="K119" s="27"/>
      <c r="L119" s="28"/>
      <c r="M119" s="29"/>
      <c r="N119" s="29"/>
      <c r="O119" s="28"/>
      <c r="P119" s="28"/>
      <c r="Q119" s="29"/>
      <c r="R119" s="28"/>
      <c r="S119" s="31"/>
    </row>
    <row r="120" ht="15" customHeight="1" s="4" customFormat="1">
      <c r="A120" s="67"/>
      <c r="B120" s="27"/>
      <c r="C120" s="28"/>
      <c r="D120" s="29"/>
      <c r="E120" s="29"/>
      <c r="F120" s="30"/>
      <c r="G120" s="28"/>
      <c r="H120" s="29"/>
      <c r="I120" s="28"/>
      <c r="J120" s="31"/>
      <c r="K120" s="27"/>
      <c r="L120" s="28"/>
      <c r="M120" s="29"/>
      <c r="N120" s="29"/>
      <c r="O120" s="28"/>
      <c r="P120" s="28"/>
      <c r="Q120" s="29"/>
      <c r="R120" s="28"/>
      <c r="S120" s="31"/>
    </row>
    <row r="121" ht="15" customHeight="1" s="4" customFormat="1">
      <c r="A121" s="67"/>
      <c r="B121" s="27"/>
      <c r="C121" s="28"/>
      <c r="D121" s="29"/>
      <c r="E121" s="29"/>
      <c r="F121" s="30"/>
      <c r="G121" s="28"/>
      <c r="H121" s="29"/>
      <c r="I121" s="28"/>
      <c r="J121" s="31"/>
      <c r="K121" s="27"/>
      <c r="L121" s="28"/>
      <c r="M121" s="29"/>
      <c r="N121" s="29"/>
      <c r="O121" s="28"/>
      <c r="P121" s="28"/>
      <c r="Q121" s="29"/>
      <c r="R121" s="28"/>
      <c r="S121" s="31"/>
    </row>
    <row r="122" ht="15" customHeight="1" s="4" customFormat="1">
      <c r="A122" s="67"/>
      <c r="B122" s="27"/>
      <c r="C122" s="28"/>
      <c r="D122" s="29"/>
      <c r="E122" s="29"/>
      <c r="F122" s="30"/>
      <c r="G122" s="28"/>
      <c r="H122" s="29"/>
      <c r="I122" s="28"/>
      <c r="J122" s="31"/>
      <c r="K122" s="27"/>
      <c r="L122" s="28"/>
      <c r="M122" s="29"/>
      <c r="N122" s="29"/>
      <c r="O122" s="28"/>
      <c r="P122" s="28"/>
      <c r="Q122" s="29"/>
      <c r="R122" s="28"/>
      <c r="S122" s="31"/>
    </row>
    <row r="123" ht="15" customHeight="1" s="4" customFormat="1">
      <c r="A123" s="67"/>
      <c r="B123" s="27"/>
      <c r="C123" s="28"/>
      <c r="D123" s="29"/>
      <c r="E123" s="29"/>
      <c r="F123" s="30"/>
      <c r="G123" s="28"/>
      <c r="H123" s="29"/>
      <c r="I123" s="28"/>
      <c r="J123" s="31"/>
      <c r="K123" s="27"/>
      <c r="L123" s="28"/>
      <c r="M123" s="29"/>
      <c r="N123" s="29"/>
      <c r="O123" s="28"/>
      <c r="P123" s="28"/>
      <c r="Q123" s="29"/>
      <c r="R123" s="28"/>
      <c r="S123" s="31"/>
    </row>
    <row r="124" ht="15" customHeight="1" s="4" customFormat="1">
      <c r="A124" s="67"/>
      <c r="B124" s="27"/>
      <c r="C124" s="28"/>
      <c r="D124" s="29"/>
      <c r="E124" s="29"/>
      <c r="F124" s="30"/>
      <c r="G124" s="28"/>
      <c r="H124" s="29"/>
      <c r="I124" s="28"/>
      <c r="J124" s="31"/>
      <c r="K124" s="27"/>
      <c r="L124" s="28"/>
      <c r="M124" s="29"/>
      <c r="N124" s="29"/>
      <c r="O124" s="28"/>
      <c r="P124" s="28"/>
      <c r="Q124" s="29"/>
      <c r="R124" s="28"/>
      <c r="S124" s="31"/>
    </row>
    <row r="125" ht="15" customHeight="1" s="4" customFormat="1">
      <c r="A125" s="67"/>
      <c r="B125" s="27"/>
      <c r="C125" s="28"/>
      <c r="D125" s="29"/>
      <c r="E125" s="29"/>
      <c r="F125" s="30"/>
      <c r="G125" s="28"/>
      <c r="H125" s="29"/>
      <c r="I125" s="28"/>
      <c r="J125" s="31"/>
      <c r="K125" s="27"/>
      <c r="L125" s="28"/>
      <c r="M125" s="29"/>
      <c r="N125" s="29"/>
      <c r="O125" s="28"/>
      <c r="P125" s="28"/>
      <c r="Q125" s="29"/>
      <c r="R125" s="28"/>
      <c r="S125" s="31"/>
    </row>
    <row r="126" ht="15" customHeight="1" s="4" customFormat="1">
      <c r="A126" s="67"/>
      <c r="B126" s="27"/>
      <c r="C126" s="28"/>
      <c r="D126" s="29"/>
      <c r="E126" s="29"/>
      <c r="F126" s="30"/>
      <c r="G126" s="28"/>
      <c r="H126" s="29"/>
      <c r="I126" s="28"/>
      <c r="J126" s="31"/>
      <c r="K126" s="27"/>
      <c r="L126" s="28"/>
      <c r="M126" s="29"/>
      <c r="N126" s="29"/>
      <c r="O126" s="28"/>
      <c r="P126" s="28"/>
      <c r="Q126" s="29"/>
      <c r="R126" s="28"/>
      <c r="S126" s="31"/>
    </row>
    <row r="127" ht="15" customHeight="1" s="4" customFormat="1">
      <c r="A127" s="67"/>
      <c r="B127" s="27"/>
      <c r="C127" s="28"/>
      <c r="D127" s="29"/>
      <c r="E127" s="29"/>
      <c r="F127" s="30"/>
      <c r="G127" s="28"/>
      <c r="H127" s="29"/>
      <c r="I127" s="28"/>
      <c r="J127" s="31"/>
      <c r="K127" s="27"/>
      <c r="L127" s="28"/>
      <c r="M127" s="29"/>
      <c r="N127" s="29"/>
      <c r="O127" s="28"/>
      <c r="P127" s="28"/>
      <c r="Q127" s="29"/>
      <c r="R127" s="28"/>
      <c r="S127" s="31"/>
    </row>
    <row r="128" ht="15" customHeight="1" s="4" customFormat="1">
      <c r="A128" s="67"/>
      <c r="B128" s="27"/>
      <c r="C128" s="28"/>
      <c r="D128" s="29"/>
      <c r="E128" s="29"/>
      <c r="F128" s="30"/>
      <c r="G128" s="28"/>
      <c r="H128" s="29"/>
      <c r="I128" s="28"/>
      <c r="J128" s="31"/>
      <c r="K128" s="27"/>
      <c r="L128" s="28"/>
      <c r="M128" s="29"/>
      <c r="N128" s="29"/>
      <c r="O128" s="28"/>
      <c r="P128" s="28"/>
      <c r="Q128" s="29"/>
      <c r="R128" s="28"/>
      <c r="S128" s="31"/>
    </row>
    <row r="129" ht="15" customHeight="1" s="4" customFormat="1">
      <c r="A129" s="67"/>
      <c r="B129" s="27"/>
      <c r="C129" s="28"/>
      <c r="D129" s="29"/>
      <c r="E129" s="29"/>
      <c r="F129" s="30"/>
      <c r="G129" s="28"/>
      <c r="H129" s="29"/>
      <c r="I129" s="28"/>
      <c r="J129" s="31"/>
      <c r="K129" s="27"/>
      <c r="L129" s="28"/>
      <c r="M129" s="29"/>
      <c r="N129" s="29"/>
      <c r="O129" s="28"/>
      <c r="P129" s="28"/>
      <c r="Q129" s="29"/>
      <c r="R129" s="28"/>
      <c r="S129" s="31"/>
    </row>
    <row r="130" ht="15" customHeight="1" s="4" customFormat="1">
      <c r="A130" s="67"/>
      <c r="B130" s="27"/>
      <c r="C130" s="28"/>
      <c r="D130" s="29"/>
      <c r="E130" s="29"/>
      <c r="F130" s="30"/>
      <c r="G130" s="28"/>
      <c r="H130" s="29"/>
      <c r="I130" s="28"/>
      <c r="J130" s="31"/>
      <c r="K130" s="27"/>
      <c r="L130" s="28"/>
      <c r="M130" s="29"/>
      <c r="N130" s="29"/>
      <c r="O130" s="28"/>
      <c r="P130" s="28"/>
      <c r="Q130" s="29"/>
      <c r="R130" s="28"/>
      <c r="S130" s="31"/>
    </row>
    <row r="131" ht="15" customHeight="1" s="4" customFormat="1">
      <c r="A131" s="67"/>
      <c r="B131" s="27"/>
      <c r="C131" s="28"/>
      <c r="D131" s="29"/>
      <c r="E131" s="29"/>
      <c r="F131" s="30"/>
      <c r="G131" s="28"/>
      <c r="H131" s="29"/>
      <c r="I131" s="28"/>
      <c r="J131" s="31"/>
      <c r="K131" s="27"/>
      <c r="L131" s="28"/>
      <c r="M131" s="29"/>
      <c r="N131" s="29"/>
      <c r="O131" s="28"/>
      <c r="P131" s="28"/>
      <c r="Q131" s="29"/>
      <c r="R131" s="28"/>
      <c r="S131" s="31"/>
    </row>
    <row r="132" ht="15" customHeight="1" s="4" customFormat="1">
      <c r="A132" s="67"/>
      <c r="B132" s="27"/>
      <c r="C132" s="28"/>
      <c r="D132" s="29"/>
      <c r="E132" s="29"/>
      <c r="F132" s="30"/>
      <c r="G132" s="28"/>
      <c r="H132" s="29"/>
      <c r="I132" s="28"/>
      <c r="J132" s="31"/>
      <c r="K132" s="27"/>
      <c r="L132" s="28"/>
      <c r="M132" s="29"/>
      <c r="N132" s="29"/>
      <c r="O132" s="28"/>
      <c r="P132" s="28"/>
      <c r="Q132" s="29"/>
      <c r="R132" s="28"/>
      <c r="S132" s="31"/>
    </row>
    <row r="133" ht="15" customHeight="1" s="4" customFormat="1">
      <c r="A133" s="67"/>
      <c r="B133" s="27"/>
      <c r="C133" s="28"/>
      <c r="D133" s="29"/>
      <c r="E133" s="29"/>
      <c r="F133" s="30"/>
      <c r="G133" s="28"/>
      <c r="H133" s="29"/>
      <c r="I133" s="28"/>
      <c r="J133" s="31"/>
      <c r="K133" s="27"/>
      <c r="L133" s="28"/>
      <c r="M133" s="29"/>
      <c r="N133" s="29"/>
      <c r="O133" s="28"/>
      <c r="P133" s="28"/>
      <c r="Q133" s="29"/>
      <c r="R133" s="28"/>
      <c r="S133" s="31"/>
    </row>
    <row r="134" ht="15" customHeight="1" s="4" customFormat="1">
      <c r="A134" s="67"/>
      <c r="B134" s="27"/>
      <c r="C134" s="28"/>
      <c r="D134" s="29"/>
      <c r="E134" s="29"/>
      <c r="F134" s="30"/>
      <c r="G134" s="28"/>
      <c r="H134" s="29"/>
      <c r="I134" s="28"/>
      <c r="J134" s="31"/>
      <c r="K134" s="27"/>
      <c r="L134" s="28"/>
      <c r="M134" s="29"/>
      <c r="N134" s="29"/>
      <c r="O134" s="30"/>
      <c r="P134" s="28"/>
      <c r="Q134" s="29"/>
      <c r="R134" s="28"/>
      <c r="S134" s="31"/>
    </row>
    <row r="135" ht="15" customHeight="1" s="4" customFormat="1">
      <c r="A135" s="67"/>
      <c r="B135" s="27"/>
      <c r="C135" s="28"/>
      <c r="D135" s="29"/>
      <c r="E135" s="29"/>
      <c r="F135" s="30"/>
      <c r="G135" s="28"/>
      <c r="H135" s="29"/>
      <c r="I135" s="28"/>
      <c r="J135" s="31"/>
      <c r="K135" s="27"/>
      <c r="L135" s="28"/>
      <c r="M135" s="29"/>
      <c r="N135" s="29"/>
      <c r="O135" s="28"/>
      <c r="P135" s="28"/>
      <c r="Q135" s="29"/>
      <c r="R135" s="28"/>
      <c r="S135" s="31"/>
    </row>
    <row r="136" ht="15" customHeight="1" s="4" customFormat="1">
      <c r="A136" s="67"/>
      <c r="B136" s="27"/>
      <c r="C136" s="28"/>
      <c r="D136" s="29"/>
      <c r="E136" s="29"/>
      <c r="F136" s="30"/>
      <c r="G136" s="28"/>
      <c r="H136" s="29"/>
      <c r="I136" s="28"/>
      <c r="J136" s="31"/>
      <c r="K136" s="27"/>
      <c r="L136" s="28"/>
      <c r="M136" s="29"/>
      <c r="N136" s="29"/>
      <c r="O136" s="28"/>
      <c r="P136" s="28"/>
      <c r="Q136" s="29"/>
      <c r="R136" s="28"/>
      <c r="S136" s="31"/>
    </row>
    <row r="137" ht="15" customHeight="1" s="4" customFormat="1">
      <c r="A137" s="67"/>
      <c r="B137" s="27"/>
      <c r="C137" s="28"/>
      <c r="D137" s="29"/>
      <c r="E137" s="29"/>
      <c r="F137" s="30"/>
      <c r="G137" s="28"/>
      <c r="H137" s="29"/>
      <c r="I137" s="28"/>
      <c r="J137" s="31"/>
      <c r="K137" s="27"/>
      <c r="L137" s="28"/>
      <c r="M137" s="29"/>
      <c r="N137" s="29"/>
      <c r="O137" s="28"/>
      <c r="P137" s="28"/>
      <c r="Q137" s="29"/>
      <c r="R137" s="28"/>
      <c r="S137" s="31"/>
    </row>
    <row r="138" ht="15" customHeight="1" s="4" customFormat="1">
      <c r="A138" s="67"/>
      <c r="B138" s="27"/>
      <c r="C138" s="28"/>
      <c r="D138" s="29"/>
      <c r="E138" s="29"/>
      <c r="F138" s="30"/>
      <c r="G138" s="28"/>
      <c r="H138" s="29"/>
      <c r="I138" s="28"/>
      <c r="J138" s="31"/>
      <c r="K138" s="27"/>
      <c r="L138" s="28"/>
      <c r="M138" s="29"/>
      <c r="N138" s="29"/>
      <c r="O138" s="28"/>
      <c r="P138" s="28"/>
      <c r="Q138" s="29"/>
      <c r="R138" s="28"/>
      <c r="S138" s="31"/>
    </row>
    <row r="139" ht="15" customHeight="1" s="4" customFormat="1">
      <c r="A139" s="67"/>
      <c r="B139" s="27"/>
      <c r="C139" s="28"/>
      <c r="D139" s="29"/>
      <c r="E139" s="29"/>
      <c r="F139" s="30"/>
      <c r="G139" s="28"/>
      <c r="H139" s="29"/>
      <c r="I139" s="28"/>
      <c r="J139" s="31"/>
      <c r="K139" s="27"/>
      <c r="L139" s="28"/>
      <c r="M139" s="29"/>
      <c r="N139" s="29"/>
      <c r="O139" s="28"/>
      <c r="P139" s="28"/>
      <c r="Q139" s="29"/>
      <c r="R139" s="28"/>
      <c r="S139" s="31"/>
    </row>
    <row r="140" ht="15" customHeight="1" s="4" customFormat="1">
      <c r="A140" s="67"/>
      <c r="B140" s="27"/>
      <c r="C140" s="28"/>
      <c r="D140" s="29"/>
      <c r="E140" s="29"/>
      <c r="F140" s="30"/>
      <c r="G140" s="28"/>
      <c r="H140" s="29"/>
      <c r="I140" s="28"/>
      <c r="J140" s="31"/>
      <c r="K140" s="27"/>
      <c r="L140" s="28"/>
      <c r="M140" s="29"/>
      <c r="N140" s="29"/>
      <c r="O140" s="28"/>
      <c r="P140" s="28"/>
      <c r="Q140" s="29"/>
      <c r="R140" s="28"/>
      <c r="S140" s="31"/>
    </row>
    <row r="141" ht="15" customHeight="1" s="4" customFormat="1">
      <c r="A141" s="67"/>
      <c r="B141" s="27"/>
      <c r="C141" s="28"/>
      <c r="D141" s="29"/>
      <c r="E141" s="29"/>
      <c r="F141" s="30"/>
      <c r="G141" s="28"/>
      <c r="H141" s="29"/>
      <c r="I141" s="28"/>
      <c r="J141" s="31"/>
      <c r="K141" s="27"/>
      <c r="L141" s="28"/>
      <c r="M141" s="29"/>
      <c r="N141" s="29"/>
      <c r="O141" s="28"/>
      <c r="P141" s="28"/>
      <c r="Q141" s="29"/>
      <c r="R141" s="28"/>
      <c r="S141" s="31"/>
    </row>
    <row r="142" ht="15" customHeight="1" s="4" customFormat="1">
      <c r="A142" s="67"/>
      <c r="B142" s="27"/>
      <c r="C142" s="28"/>
      <c r="D142" s="29"/>
      <c r="E142" s="29"/>
      <c r="F142" s="30"/>
      <c r="G142" s="28"/>
      <c r="H142" s="29"/>
      <c r="I142" s="28"/>
      <c r="J142" s="31"/>
      <c r="K142" s="27"/>
      <c r="L142" s="28"/>
      <c r="M142" s="29"/>
      <c r="N142" s="29"/>
      <c r="O142" s="28"/>
      <c r="P142" s="28"/>
      <c r="Q142" s="29"/>
      <c r="R142" s="28"/>
      <c r="S142" s="31"/>
    </row>
    <row r="143" ht="15" customHeight="1" s="4" customFormat="1">
      <c r="A143" s="67"/>
      <c r="B143" s="27"/>
      <c r="C143" s="28"/>
      <c r="D143" s="29"/>
      <c r="E143" s="29"/>
      <c r="F143" s="30"/>
      <c r="G143" s="28"/>
      <c r="H143" s="29"/>
      <c r="I143" s="28"/>
      <c r="J143" s="31"/>
      <c r="K143" s="27"/>
      <c r="L143" s="28"/>
      <c r="M143" s="29"/>
      <c r="N143" s="29"/>
      <c r="O143" s="28"/>
      <c r="P143" s="28"/>
      <c r="Q143" s="29"/>
      <c r="R143" s="28"/>
      <c r="S143" s="31"/>
    </row>
    <row r="144" ht="15" customHeight="1" s="4" customFormat="1">
      <c r="A144" s="67"/>
      <c r="B144" s="27"/>
      <c r="C144" s="28"/>
      <c r="D144" s="29"/>
      <c r="E144" s="29"/>
      <c r="F144" s="30"/>
      <c r="G144" s="28"/>
      <c r="H144" s="29"/>
      <c r="I144" s="28"/>
      <c r="J144" s="31"/>
      <c r="K144" s="27"/>
      <c r="L144" s="28"/>
      <c r="M144" s="29"/>
      <c r="N144" s="29"/>
      <c r="O144" s="28"/>
      <c r="P144" s="28"/>
      <c r="Q144" s="29"/>
      <c r="R144" s="28"/>
      <c r="S144" s="31"/>
    </row>
    <row r="145" ht="15" customHeight="1" s="4" customFormat="1">
      <c r="A145" s="67"/>
      <c r="B145" s="27"/>
      <c r="C145" s="28"/>
      <c r="D145" s="29"/>
      <c r="E145" s="29"/>
      <c r="F145" s="30"/>
      <c r="G145" s="28"/>
      <c r="H145" s="29"/>
      <c r="I145" s="28"/>
      <c r="J145" s="31"/>
      <c r="K145" s="27"/>
      <c r="L145" s="28"/>
      <c r="M145" s="29"/>
      <c r="N145" s="29"/>
      <c r="O145" s="28"/>
      <c r="P145" s="28"/>
      <c r="Q145" s="29"/>
      <c r="R145" s="28"/>
      <c r="S145" s="31"/>
    </row>
    <row r="146" ht="15" customHeight="1" s="4" customFormat="1">
      <c r="A146" s="67"/>
      <c r="B146" s="27"/>
      <c r="C146" s="28"/>
      <c r="D146" s="29"/>
      <c r="E146" s="29"/>
      <c r="F146" s="30"/>
      <c r="G146" s="28"/>
      <c r="H146" s="29"/>
      <c r="I146" s="28"/>
      <c r="J146" s="31"/>
      <c r="K146" s="27"/>
      <c r="L146" s="28"/>
      <c r="M146" s="29"/>
      <c r="N146" s="29"/>
      <c r="O146" s="28"/>
      <c r="P146" s="28"/>
      <c r="Q146" s="29"/>
      <c r="R146" s="28"/>
      <c r="S146" s="31"/>
    </row>
    <row r="147" ht="15" customHeight="1" s="4" customFormat="1">
      <c r="A147" s="67"/>
      <c r="B147" s="27"/>
      <c r="C147" s="28"/>
      <c r="D147" s="29"/>
      <c r="E147" s="29"/>
      <c r="F147" s="30"/>
      <c r="G147" s="28"/>
      <c r="H147" s="29"/>
      <c r="I147" s="28"/>
      <c r="J147" s="31"/>
      <c r="K147" s="27"/>
      <c r="L147" s="28"/>
      <c r="M147" s="29"/>
      <c r="N147" s="29"/>
      <c r="O147" s="28"/>
      <c r="P147" s="28"/>
      <c r="Q147" s="29"/>
      <c r="R147" s="28"/>
      <c r="S147" s="31"/>
    </row>
    <row r="148" ht="15" customHeight="1" s="4" customFormat="1">
      <c r="A148" s="67"/>
      <c r="B148" s="27"/>
      <c r="C148" s="28"/>
      <c r="D148" s="29"/>
      <c r="E148" s="29"/>
      <c r="F148" s="30"/>
      <c r="G148" s="28"/>
      <c r="H148" s="29"/>
      <c r="I148" s="28"/>
      <c r="J148" s="31"/>
      <c r="K148" s="27"/>
      <c r="L148" s="28"/>
      <c r="M148" s="29"/>
      <c r="N148" s="29"/>
      <c r="O148" s="28"/>
      <c r="P148" s="28"/>
      <c r="Q148" s="29"/>
      <c r="R148" s="28"/>
      <c r="S148" s="31"/>
    </row>
    <row r="149" ht="15" customHeight="1" s="4" customFormat="1">
      <c r="A149" s="67"/>
      <c r="B149" s="27"/>
      <c r="C149" s="28"/>
      <c r="D149" s="29"/>
      <c r="E149" s="29"/>
      <c r="F149" s="30"/>
      <c r="G149" s="28"/>
      <c r="H149" s="29"/>
      <c r="I149" s="28"/>
      <c r="J149" s="31"/>
      <c r="K149" s="27"/>
      <c r="L149" s="28"/>
      <c r="M149" s="29"/>
      <c r="N149" s="29"/>
      <c r="O149" s="28"/>
      <c r="P149" s="28"/>
      <c r="Q149" s="29"/>
      <c r="R149" s="28"/>
      <c r="S149" s="31"/>
    </row>
    <row r="150" ht="15" customHeight="1" s="4" customFormat="1">
      <c r="A150" s="67"/>
      <c r="B150" s="27"/>
      <c r="C150" s="28"/>
      <c r="D150" s="29"/>
      <c r="E150" s="29"/>
      <c r="F150" s="30"/>
      <c r="G150" s="28"/>
      <c r="H150" s="29"/>
      <c r="I150" s="28"/>
      <c r="J150" s="31"/>
      <c r="K150" s="27"/>
      <c r="L150" s="28"/>
      <c r="M150" s="29"/>
      <c r="N150" s="29"/>
      <c r="O150" s="28"/>
      <c r="P150" s="28"/>
      <c r="Q150" s="29"/>
      <c r="R150" s="28"/>
      <c r="S150" s="31"/>
    </row>
    <row r="151" ht="15" customHeight="1" s="4" customFormat="1">
      <c r="A151" s="67"/>
      <c r="B151" s="27"/>
      <c r="C151" s="28"/>
      <c r="D151" s="29"/>
      <c r="E151" s="29"/>
      <c r="F151" s="30"/>
      <c r="G151" s="28"/>
      <c r="H151" s="29"/>
      <c r="I151" s="28"/>
      <c r="J151" s="31"/>
      <c r="K151" s="27"/>
      <c r="L151" s="28"/>
      <c r="M151" s="29"/>
      <c r="N151" s="29"/>
      <c r="O151" s="28"/>
      <c r="P151" s="28"/>
      <c r="Q151" s="29"/>
      <c r="R151" s="28"/>
      <c r="S151" s="31"/>
    </row>
    <row r="152" ht="15" customHeight="1" s="4" customFormat="1">
      <c r="A152" s="67"/>
      <c r="B152" s="27"/>
      <c r="C152" s="28"/>
      <c r="D152" s="29"/>
      <c r="E152" s="29"/>
      <c r="F152" s="30"/>
      <c r="G152" s="28"/>
      <c r="H152" s="29"/>
      <c r="I152" s="28"/>
      <c r="J152" s="31"/>
      <c r="K152" s="27"/>
      <c r="L152" s="28"/>
      <c r="M152" s="29"/>
      <c r="N152" s="29"/>
      <c r="O152" s="28"/>
      <c r="P152" s="28"/>
      <c r="Q152" s="29"/>
      <c r="R152" s="28"/>
      <c r="S152" s="31"/>
    </row>
    <row r="153" ht="15" customHeight="1" s="4" customFormat="1">
      <c r="A153" s="67"/>
      <c r="B153" s="27"/>
      <c r="C153" s="28"/>
      <c r="D153" s="29"/>
      <c r="E153" s="29"/>
      <c r="F153" s="30"/>
      <c r="G153" s="28"/>
      <c r="H153" s="29"/>
      <c r="I153" s="28"/>
      <c r="J153" s="31"/>
      <c r="K153" s="27"/>
      <c r="L153" s="28"/>
      <c r="M153" s="29"/>
      <c r="N153" s="29"/>
      <c r="O153" s="28"/>
      <c r="P153" s="28"/>
      <c r="Q153" s="29"/>
      <c r="R153" s="28"/>
      <c r="S153" s="31"/>
    </row>
    <row r="154" ht="15" customHeight="1" s="4" customFormat="1">
      <c r="A154" s="67"/>
      <c r="B154" s="27"/>
      <c r="C154" s="28"/>
      <c r="D154" s="29"/>
      <c r="E154" s="29"/>
      <c r="F154" s="30"/>
      <c r="G154" s="28"/>
      <c r="H154" s="29"/>
      <c r="I154" s="28"/>
      <c r="J154" s="31"/>
      <c r="K154" s="27"/>
      <c r="L154" s="28"/>
      <c r="M154" s="29"/>
      <c r="N154" s="29"/>
      <c r="O154" s="28"/>
      <c r="P154" s="28"/>
      <c r="Q154" s="29"/>
      <c r="R154" s="28"/>
      <c r="S154" s="31"/>
    </row>
    <row r="155" ht="15" customHeight="1" s="4" customFormat="1">
      <c r="A155" s="67"/>
      <c r="B155" s="27"/>
      <c r="C155" s="28"/>
      <c r="D155" s="29"/>
      <c r="E155" s="29"/>
      <c r="F155" s="30"/>
      <c r="G155" s="28"/>
      <c r="H155" s="29"/>
      <c r="I155" s="28"/>
      <c r="J155" s="31"/>
      <c r="K155" s="27"/>
      <c r="L155" s="28"/>
      <c r="M155" s="29"/>
      <c r="N155" s="29"/>
      <c r="O155" s="28"/>
      <c r="P155" s="28"/>
      <c r="Q155" s="29"/>
      <c r="R155" s="28"/>
      <c r="S155" s="31"/>
    </row>
    <row r="156" ht="15" customHeight="1" s="4" customFormat="1">
      <c r="A156" s="67"/>
      <c r="B156" s="27"/>
      <c r="C156" s="28"/>
      <c r="D156" s="29"/>
      <c r="E156" s="29"/>
      <c r="F156" s="30"/>
      <c r="G156" s="28"/>
      <c r="H156" s="29"/>
      <c r="I156" s="28"/>
      <c r="J156" s="31"/>
      <c r="K156" s="27"/>
      <c r="L156" s="28"/>
      <c r="M156" s="29"/>
      <c r="N156" s="29"/>
      <c r="O156" s="28"/>
      <c r="P156" s="28"/>
      <c r="Q156" s="29"/>
      <c r="R156" s="28"/>
      <c r="S156" s="31"/>
    </row>
    <row r="157" ht="15" customHeight="1" s="4" customFormat="1">
      <c r="A157" s="67"/>
      <c r="B157" s="27"/>
      <c r="C157" s="28"/>
      <c r="D157" s="29"/>
      <c r="E157" s="29"/>
      <c r="F157" s="30"/>
      <c r="G157" s="28"/>
      <c r="H157" s="29"/>
      <c r="I157" s="28"/>
      <c r="J157" s="31"/>
      <c r="K157" s="27"/>
      <c r="L157" s="28"/>
      <c r="M157" s="29"/>
      <c r="N157" s="29"/>
      <c r="O157" s="28"/>
      <c r="P157" s="28"/>
      <c r="Q157" s="29"/>
      <c r="R157" s="28"/>
      <c r="S157" s="31"/>
    </row>
    <row r="158" ht="15" customHeight="1" s="4" customFormat="1">
      <c r="A158" s="67"/>
      <c r="B158" s="27"/>
      <c r="C158" s="28"/>
      <c r="D158" s="29"/>
      <c r="E158" s="29"/>
      <c r="F158" s="30"/>
      <c r="G158" s="28"/>
      <c r="H158" s="29"/>
      <c r="I158" s="28"/>
      <c r="J158" s="31"/>
      <c r="K158" s="27"/>
      <c r="L158" s="28"/>
      <c r="M158" s="29"/>
      <c r="N158" s="29"/>
      <c r="O158" s="28"/>
      <c r="P158" s="28"/>
      <c r="Q158" s="29"/>
      <c r="R158" s="28"/>
      <c r="S158" s="31"/>
    </row>
    <row r="159" ht="15" customHeight="1" s="4" customFormat="1">
      <c r="A159" s="67"/>
      <c r="B159" s="27"/>
      <c r="C159" s="28"/>
      <c r="D159" s="29"/>
      <c r="E159" s="29"/>
      <c r="F159" s="30"/>
      <c r="G159" s="28"/>
      <c r="H159" s="29"/>
      <c r="I159" s="28"/>
      <c r="J159" s="31"/>
      <c r="K159" s="27"/>
      <c r="L159" s="28"/>
      <c r="M159" s="29"/>
      <c r="N159" s="29"/>
      <c r="O159" s="28"/>
      <c r="P159" s="28"/>
      <c r="Q159" s="29"/>
      <c r="R159" s="28"/>
      <c r="S159" s="31"/>
    </row>
    <row r="160" ht="15" customHeight="1" s="4" customFormat="1">
      <c r="A160" s="67"/>
      <c r="B160" s="27"/>
      <c r="C160" s="28"/>
      <c r="D160" s="29"/>
      <c r="E160" s="29"/>
      <c r="F160" s="30"/>
      <c r="G160" s="28"/>
      <c r="H160" s="29"/>
      <c r="I160" s="28"/>
      <c r="J160" s="31"/>
      <c r="K160" s="27"/>
      <c r="L160" s="28"/>
      <c r="M160" s="29"/>
      <c r="N160" s="29"/>
      <c r="O160" s="28"/>
      <c r="P160" s="28"/>
      <c r="Q160" s="29"/>
      <c r="R160" s="28"/>
      <c r="S160" s="31"/>
    </row>
    <row r="161" ht="15" customHeight="1" s="4" customFormat="1">
      <c r="A161" s="67"/>
      <c r="B161" s="27"/>
      <c r="C161" s="28"/>
      <c r="D161" s="29"/>
      <c r="E161" s="29"/>
      <c r="F161" s="30"/>
      <c r="G161" s="28"/>
      <c r="H161" s="29"/>
      <c r="I161" s="28"/>
      <c r="J161" s="31"/>
      <c r="K161" s="27"/>
      <c r="L161" s="28"/>
      <c r="M161" s="29"/>
      <c r="N161" s="29"/>
      <c r="O161" s="28"/>
      <c r="P161" s="28"/>
      <c r="Q161" s="29"/>
      <c r="R161" s="28"/>
      <c r="S161" s="31"/>
    </row>
    <row r="162" ht="15" customHeight="1" s="4" customFormat="1">
      <c r="A162" s="67"/>
      <c r="B162" s="27"/>
      <c r="C162" s="28"/>
      <c r="D162" s="29"/>
      <c r="E162" s="29"/>
      <c r="F162" s="30"/>
      <c r="G162" s="28"/>
      <c r="H162" s="29"/>
      <c r="I162" s="28"/>
      <c r="J162" s="31"/>
      <c r="K162" s="27"/>
      <c r="L162" s="28"/>
      <c r="M162" s="29"/>
      <c r="N162" s="29"/>
      <c r="O162" s="28"/>
      <c r="P162" s="28"/>
      <c r="Q162" s="29"/>
      <c r="R162" s="28"/>
      <c r="S162" s="31"/>
    </row>
    <row r="163" ht="15" customHeight="1" s="4" customFormat="1">
      <c r="A163" s="67"/>
      <c r="B163" s="27"/>
      <c r="C163" s="28"/>
      <c r="D163" s="29"/>
      <c r="E163" s="29"/>
      <c r="F163" s="30"/>
      <c r="G163" s="28"/>
      <c r="H163" s="29"/>
      <c r="I163" s="28"/>
      <c r="J163" s="31"/>
      <c r="K163" s="27"/>
      <c r="L163" s="28"/>
      <c r="M163" s="29"/>
      <c r="N163" s="29"/>
      <c r="O163" s="28"/>
      <c r="P163" s="28"/>
      <c r="Q163" s="29"/>
      <c r="R163" s="28"/>
      <c r="S163" s="31"/>
    </row>
    <row r="164" ht="15" customHeight="1" s="4" customFormat="1">
      <c r="A164" s="67"/>
      <c r="B164" s="27"/>
      <c r="C164" s="28"/>
      <c r="D164" s="29"/>
      <c r="E164" s="29"/>
      <c r="F164" s="30"/>
      <c r="G164" s="28"/>
      <c r="H164" s="29"/>
      <c r="I164" s="28"/>
      <c r="J164" s="31"/>
      <c r="K164" s="27"/>
      <c r="L164" s="28"/>
      <c r="M164" s="29"/>
      <c r="N164" s="29"/>
      <c r="O164" s="28"/>
      <c r="P164" s="28"/>
      <c r="Q164" s="29"/>
      <c r="R164" s="28"/>
      <c r="S164" s="31"/>
    </row>
    <row r="165" ht="15" customHeight="1" s="4" customFormat="1">
      <c r="A165" s="67"/>
      <c r="B165" s="27"/>
      <c r="C165" s="28"/>
      <c r="D165" s="29"/>
      <c r="E165" s="29"/>
      <c r="F165" s="30"/>
      <c r="G165" s="28"/>
      <c r="H165" s="29"/>
      <c r="I165" s="28"/>
      <c r="J165" s="31"/>
      <c r="K165" s="27"/>
      <c r="L165" s="28"/>
      <c r="M165" s="29"/>
      <c r="N165" s="29"/>
      <c r="O165" s="28"/>
      <c r="P165" s="28"/>
      <c r="Q165" s="29"/>
      <c r="R165" s="28"/>
      <c r="S165" s="31"/>
    </row>
    <row r="166" ht="15" customHeight="1" s="4" customFormat="1">
      <c r="A166" s="67"/>
      <c r="B166" s="27"/>
      <c r="C166" s="28"/>
      <c r="D166" s="29"/>
      <c r="E166" s="29"/>
      <c r="F166" s="30"/>
      <c r="G166" s="28"/>
      <c r="H166" s="29"/>
      <c r="I166" s="28"/>
      <c r="J166" s="31"/>
      <c r="K166" s="27"/>
      <c r="L166" s="28"/>
      <c r="M166" s="29"/>
      <c r="N166" s="29"/>
      <c r="O166" s="28"/>
      <c r="P166" s="28"/>
      <c r="Q166" s="29"/>
      <c r="R166" s="28"/>
      <c r="S166" s="31"/>
    </row>
    <row r="167" ht="15" customHeight="1" s="4" customFormat="1">
      <c r="A167" s="67"/>
      <c r="B167" s="27"/>
      <c r="C167" s="28"/>
      <c r="D167" s="29"/>
      <c r="E167" s="29"/>
      <c r="F167" s="30"/>
      <c r="G167" s="28"/>
      <c r="H167" s="29"/>
      <c r="I167" s="28"/>
      <c r="J167" s="31"/>
      <c r="K167" s="27"/>
      <c r="L167" s="28"/>
      <c r="M167" s="29"/>
      <c r="N167" s="29"/>
      <c r="O167" s="28"/>
      <c r="P167" s="28"/>
      <c r="Q167" s="29"/>
      <c r="R167" s="28"/>
      <c r="S167" s="31"/>
    </row>
    <row r="168" ht="15" customHeight="1" s="4" customFormat="1">
      <c r="A168" s="67"/>
      <c r="B168" s="27"/>
      <c r="C168" s="28"/>
      <c r="D168" s="29"/>
      <c r="E168" s="29"/>
      <c r="F168" s="30"/>
      <c r="G168" s="28"/>
      <c r="H168" s="29"/>
      <c r="I168" s="28"/>
      <c r="J168" s="31"/>
      <c r="K168" s="27"/>
      <c r="L168" s="28"/>
      <c r="M168" s="29"/>
      <c r="N168" s="29"/>
      <c r="O168" s="28"/>
      <c r="P168" s="28"/>
      <c r="Q168" s="29"/>
      <c r="R168" s="28"/>
      <c r="S168" s="31"/>
    </row>
    <row r="169" ht="15" customHeight="1" s="4" customFormat="1">
      <c r="A169" s="67"/>
      <c r="B169" s="27"/>
      <c r="C169" s="28"/>
      <c r="D169" s="29"/>
      <c r="E169" s="29"/>
      <c r="F169" s="30"/>
      <c r="G169" s="28"/>
      <c r="H169" s="29"/>
      <c r="I169" s="28"/>
      <c r="J169" s="31"/>
      <c r="K169" s="27"/>
      <c r="L169" s="28"/>
      <c r="M169" s="29"/>
      <c r="N169" s="29"/>
      <c r="O169" s="28"/>
      <c r="P169" s="28"/>
      <c r="Q169" s="29"/>
      <c r="R169" s="28"/>
      <c r="S169" s="31"/>
    </row>
    <row r="170" ht="15" customHeight="1" s="4" customFormat="1">
      <c r="A170" s="67"/>
      <c r="B170" s="27"/>
      <c r="C170" s="28"/>
      <c r="D170" s="29"/>
      <c r="E170" s="29"/>
      <c r="F170" s="30"/>
      <c r="G170" s="28"/>
      <c r="H170" s="29"/>
      <c r="I170" s="28"/>
      <c r="J170" s="31"/>
      <c r="K170" s="27"/>
      <c r="L170" s="28"/>
      <c r="M170" s="29"/>
      <c r="N170" s="29"/>
      <c r="O170" s="28"/>
      <c r="P170" s="28"/>
      <c r="Q170" s="29"/>
      <c r="R170" s="28"/>
      <c r="S170" s="31"/>
    </row>
    <row r="171" ht="15" customHeight="1" s="4" customFormat="1">
      <c r="A171" s="67"/>
      <c r="B171" s="27"/>
      <c r="C171" s="28"/>
      <c r="D171" s="29"/>
      <c r="E171" s="29"/>
      <c r="F171" s="30"/>
      <c r="G171" s="28"/>
      <c r="H171" s="29"/>
      <c r="I171" s="28"/>
      <c r="J171" s="31"/>
      <c r="K171" s="27"/>
      <c r="L171" s="28"/>
      <c r="M171" s="29"/>
      <c r="N171" s="29"/>
      <c r="O171" s="28"/>
      <c r="P171" s="28"/>
      <c r="Q171" s="29"/>
      <c r="R171" s="28"/>
      <c r="S171" s="31"/>
    </row>
    <row r="172" ht="15" customHeight="1" s="4" customFormat="1">
      <c r="A172" s="67"/>
      <c r="B172" s="27"/>
      <c r="C172" s="28"/>
      <c r="D172" s="29"/>
      <c r="E172" s="29"/>
      <c r="F172" s="30"/>
      <c r="G172" s="28"/>
      <c r="H172" s="29"/>
      <c r="I172" s="28"/>
      <c r="J172" s="31"/>
      <c r="K172" s="27"/>
      <c r="L172" s="28"/>
      <c r="M172" s="29"/>
      <c r="N172" s="29"/>
      <c r="O172" s="28"/>
      <c r="P172" s="28"/>
      <c r="Q172" s="29"/>
      <c r="R172" s="28"/>
      <c r="S172" s="31"/>
    </row>
    <row r="173" ht="15" customHeight="1" s="4" customFormat="1">
      <c r="A173" s="67"/>
      <c r="B173" s="27"/>
      <c r="C173" s="28"/>
      <c r="D173" s="29"/>
      <c r="E173" s="29"/>
      <c r="F173" s="30"/>
      <c r="G173" s="28"/>
      <c r="H173" s="29"/>
      <c r="I173" s="28"/>
      <c r="J173" s="68"/>
      <c r="K173" s="27"/>
      <c r="L173" s="28"/>
      <c r="M173" s="29"/>
      <c r="N173" s="29"/>
      <c r="O173" s="28"/>
      <c r="P173" s="28"/>
      <c r="Q173" s="29"/>
      <c r="R173" s="28"/>
      <c r="S173" s="68"/>
    </row>
    <row r="174" ht="15" customHeight="1" s="4" customFormat="1">
      <c r="A174" s="67"/>
      <c r="B174" s="27"/>
      <c r="C174" s="28"/>
      <c r="D174" s="29"/>
      <c r="E174" s="29"/>
      <c r="F174" s="30"/>
      <c r="G174" s="28"/>
      <c r="H174" s="29"/>
      <c r="I174" s="28"/>
      <c r="J174" s="31"/>
      <c r="K174" s="27"/>
      <c r="L174" s="28"/>
      <c r="M174" s="29"/>
      <c r="N174" s="29"/>
      <c r="O174" s="28"/>
      <c r="P174" s="28"/>
      <c r="Q174" s="29"/>
      <c r="R174" s="28"/>
      <c r="S174" s="31"/>
    </row>
    <row r="175" ht="15" customHeight="1" s="4" customFormat="1">
      <c r="A175" s="67"/>
      <c r="B175" s="27"/>
      <c r="C175" s="28"/>
      <c r="D175" s="29"/>
      <c r="E175" s="29"/>
      <c r="F175" s="30"/>
      <c r="G175" s="28"/>
      <c r="H175" s="29"/>
      <c r="I175" s="28"/>
      <c r="J175" s="31"/>
      <c r="K175" s="27"/>
      <c r="L175" s="28"/>
      <c r="M175" s="29"/>
      <c r="N175" s="29"/>
      <c r="O175" s="28"/>
      <c r="P175" s="28"/>
      <c r="Q175" s="29"/>
      <c r="R175" s="28"/>
      <c r="S175" s="31"/>
    </row>
    <row r="176" ht="15" customHeight="1" s="4" customFormat="1">
      <c r="A176" s="67"/>
      <c r="B176" s="27"/>
      <c r="C176" s="28"/>
      <c r="D176" s="29"/>
      <c r="E176" s="29"/>
      <c r="F176" s="30"/>
      <c r="G176" s="28"/>
      <c r="H176" s="29"/>
      <c r="I176" s="28"/>
      <c r="J176" s="31"/>
      <c r="K176" s="27"/>
      <c r="L176" s="28"/>
      <c r="M176" s="29"/>
      <c r="N176" s="29"/>
      <c r="O176" s="28"/>
      <c r="P176" s="28"/>
      <c r="Q176" s="29"/>
      <c r="R176" s="28"/>
      <c r="S176" s="31"/>
    </row>
    <row r="177" ht="15" customHeight="1" s="4" customFormat="1">
      <c r="A177" s="67"/>
      <c r="B177" s="27"/>
      <c r="C177" s="28"/>
      <c r="D177" s="29"/>
      <c r="E177" s="29"/>
      <c r="F177" s="30"/>
      <c r="G177" s="28"/>
      <c r="H177" s="29"/>
      <c r="I177" s="28"/>
      <c r="J177" s="31"/>
      <c r="K177" s="27"/>
      <c r="L177" s="28"/>
      <c r="M177" s="29"/>
      <c r="N177" s="29"/>
      <c r="O177" s="28"/>
      <c r="P177" s="28"/>
      <c r="Q177" s="29"/>
      <c r="R177" s="28"/>
      <c r="S177" s="31"/>
    </row>
    <row r="178" ht="15" customHeight="1" s="4" customFormat="1">
      <c r="A178" s="67"/>
      <c r="B178" s="27"/>
      <c r="C178" s="28"/>
      <c r="D178" s="29"/>
      <c r="E178" s="29"/>
      <c r="F178" s="30"/>
      <c r="G178" s="28"/>
      <c r="H178" s="29"/>
      <c r="I178" s="28"/>
      <c r="J178" s="31"/>
      <c r="K178" s="27"/>
      <c r="L178" s="28"/>
      <c r="M178" s="29"/>
      <c r="N178" s="29"/>
      <c r="O178" s="28"/>
      <c r="P178" s="28"/>
      <c r="Q178" s="29"/>
      <c r="R178" s="28"/>
      <c r="S178" s="31"/>
    </row>
    <row r="179" ht="15" customHeight="1" s="4" customFormat="1">
      <c r="A179" s="67"/>
      <c r="B179" s="27"/>
      <c r="C179" s="28"/>
      <c r="D179" s="29"/>
      <c r="E179" s="29"/>
      <c r="F179" s="30"/>
      <c r="G179" s="28"/>
      <c r="H179" s="29"/>
      <c r="I179" s="28"/>
      <c r="J179" s="31"/>
      <c r="K179" s="27"/>
      <c r="L179" s="28"/>
      <c r="M179" s="29"/>
      <c r="N179" s="29"/>
      <c r="O179" s="28"/>
      <c r="P179" s="28"/>
      <c r="Q179" s="29"/>
      <c r="R179" s="28"/>
      <c r="S179" s="31"/>
    </row>
    <row r="180" ht="15" customHeight="1" s="4" customFormat="1">
      <c r="A180" s="67"/>
      <c r="B180" s="27"/>
      <c r="C180" s="28"/>
      <c r="D180" s="29"/>
      <c r="E180" s="29"/>
      <c r="F180" s="30"/>
      <c r="G180" s="28"/>
      <c r="H180" s="29"/>
      <c r="I180" s="28"/>
      <c r="J180" s="31"/>
      <c r="K180" s="27"/>
      <c r="L180" s="28"/>
      <c r="M180" s="29"/>
      <c r="N180" s="29"/>
      <c r="O180" s="28"/>
      <c r="P180" s="28"/>
      <c r="Q180" s="29"/>
      <c r="R180" s="28"/>
      <c r="S180" s="31"/>
    </row>
    <row r="181" ht="15" customHeight="1" s="4" customFormat="1">
      <c r="A181" s="67"/>
      <c r="B181" s="27"/>
      <c r="C181" s="28"/>
      <c r="D181" s="29"/>
      <c r="E181" s="29"/>
      <c r="F181" s="30"/>
      <c r="G181" s="28"/>
      <c r="H181" s="29"/>
      <c r="I181" s="28"/>
      <c r="J181" s="31"/>
      <c r="K181" s="27"/>
      <c r="L181" s="28"/>
      <c r="M181" s="29"/>
      <c r="N181" s="29"/>
      <c r="O181" s="28"/>
      <c r="P181" s="28"/>
      <c r="Q181" s="29"/>
      <c r="R181" s="28"/>
      <c r="S181" s="31"/>
    </row>
    <row r="182" ht="15" customHeight="1" s="4" customFormat="1">
      <c r="A182" s="67"/>
      <c r="B182" s="27"/>
      <c r="C182" s="28"/>
      <c r="D182" s="29"/>
      <c r="E182" s="29"/>
      <c r="F182" s="30"/>
      <c r="G182" s="28"/>
      <c r="H182" s="29"/>
      <c r="I182" s="28"/>
      <c r="J182" s="31"/>
      <c r="K182" s="27"/>
      <c r="L182" s="28"/>
      <c r="M182" s="29"/>
      <c r="N182" s="29"/>
      <c r="O182" s="28"/>
      <c r="P182" s="28"/>
      <c r="Q182" s="29"/>
      <c r="R182" s="28"/>
      <c r="S182" s="31"/>
    </row>
    <row r="183" ht="15" customHeight="1" s="4" customFormat="1">
      <c r="A183" s="67"/>
      <c r="B183" s="27"/>
      <c r="C183" s="28"/>
      <c r="D183" s="29"/>
      <c r="E183" s="29"/>
      <c r="F183" s="30"/>
      <c r="G183" s="28"/>
      <c r="H183" s="29"/>
      <c r="I183" s="28"/>
      <c r="J183" s="31"/>
      <c r="K183" s="27"/>
      <c r="L183" s="28"/>
      <c r="M183" s="29"/>
      <c r="N183" s="29"/>
      <c r="O183" s="28"/>
      <c r="P183" s="28"/>
      <c r="Q183" s="29"/>
      <c r="R183" s="28"/>
      <c r="S183" s="31"/>
    </row>
    <row r="184" ht="15" customHeight="1" s="4" customFormat="1">
      <c r="A184" s="67"/>
      <c r="B184" s="27"/>
      <c r="C184" s="28"/>
      <c r="D184" s="29"/>
      <c r="E184" s="29"/>
      <c r="F184" s="30"/>
      <c r="G184" s="28"/>
      <c r="H184" s="29"/>
      <c r="I184" s="28"/>
      <c r="J184" s="31"/>
      <c r="K184" s="27"/>
      <c r="L184" s="28"/>
      <c r="M184" s="29"/>
      <c r="N184" s="29"/>
      <c r="O184" s="28"/>
      <c r="P184" s="28"/>
      <c r="Q184" s="29"/>
      <c r="R184" s="28"/>
      <c r="S184" s="31"/>
    </row>
    <row r="185" ht="15" customHeight="1" s="4" customFormat="1">
      <c r="A185" s="67"/>
      <c r="B185" s="27"/>
      <c r="C185" s="28"/>
      <c r="D185" s="29"/>
      <c r="E185" s="29"/>
      <c r="F185" s="30"/>
      <c r="G185" s="28"/>
      <c r="H185" s="29"/>
      <c r="I185" s="28"/>
      <c r="J185" s="31"/>
      <c r="K185" s="27"/>
      <c r="L185" s="28"/>
      <c r="M185" s="29"/>
      <c r="N185" s="29"/>
      <c r="O185" s="28"/>
      <c r="P185" s="28"/>
      <c r="Q185" s="29"/>
      <c r="R185" s="28"/>
      <c r="S185" s="31"/>
    </row>
    <row r="186" ht="15" customHeight="1" s="4" customFormat="1">
      <c r="A186" s="67"/>
      <c r="B186" s="27"/>
      <c r="C186" s="28"/>
      <c r="D186" s="29"/>
      <c r="E186" s="29"/>
      <c r="F186" s="30"/>
      <c r="G186" s="28"/>
      <c r="H186" s="29"/>
      <c r="I186" s="28"/>
      <c r="J186" s="31"/>
      <c r="K186" s="27"/>
      <c r="L186" s="28"/>
      <c r="M186" s="29"/>
      <c r="N186" s="29"/>
      <c r="O186" s="28"/>
      <c r="P186" s="28"/>
      <c r="Q186" s="29"/>
      <c r="R186" s="28"/>
      <c r="S186" s="31"/>
    </row>
    <row r="187" ht="15" customHeight="1" s="4" customFormat="1">
      <c r="A187" s="67"/>
      <c r="B187" s="27"/>
      <c r="C187" s="28"/>
      <c r="D187" s="29"/>
      <c r="E187" s="29"/>
      <c r="F187" s="30"/>
      <c r="G187" s="28"/>
      <c r="H187" s="29"/>
      <c r="I187" s="28"/>
      <c r="J187" s="31"/>
      <c r="K187" s="27"/>
      <c r="L187" s="28"/>
      <c r="M187" s="29"/>
      <c r="N187" s="29"/>
      <c r="O187" s="28"/>
      <c r="P187" s="28"/>
      <c r="Q187" s="29"/>
      <c r="R187" s="28"/>
      <c r="S187" s="31"/>
    </row>
    <row r="188" ht="15" customHeight="1" s="4" customFormat="1">
      <c r="A188" s="67"/>
      <c r="B188" s="27"/>
      <c r="C188" s="28"/>
      <c r="D188" s="29"/>
      <c r="E188" s="29"/>
      <c r="F188" s="30"/>
      <c r="G188" s="28"/>
      <c r="H188" s="29"/>
      <c r="I188" s="28"/>
      <c r="J188" s="31"/>
      <c r="K188" s="27"/>
      <c r="L188" s="28"/>
      <c r="M188" s="29"/>
      <c r="N188" s="29"/>
      <c r="O188" s="28"/>
      <c r="P188" s="28"/>
      <c r="Q188" s="29"/>
      <c r="R188" s="28"/>
      <c r="S188" s="31"/>
    </row>
    <row r="189" ht="15" customHeight="1" s="4" customFormat="1">
      <c r="A189" s="67"/>
      <c r="B189" s="27"/>
      <c r="C189" s="28"/>
      <c r="D189" s="29"/>
      <c r="E189" s="29"/>
      <c r="F189" s="30"/>
      <c r="G189" s="28"/>
      <c r="H189" s="29"/>
      <c r="I189" s="28"/>
      <c r="J189" s="31"/>
      <c r="K189" s="27"/>
      <c r="L189" s="28"/>
      <c r="M189" s="29"/>
      <c r="N189" s="29"/>
      <c r="O189" s="28"/>
      <c r="P189" s="28"/>
      <c r="Q189" s="29"/>
      <c r="R189" s="28"/>
      <c r="S189" s="31"/>
    </row>
    <row r="190" ht="15" customHeight="1" s="4" customFormat="1">
      <c r="A190" s="67"/>
      <c r="B190" s="27"/>
      <c r="C190" s="28"/>
      <c r="D190" s="29"/>
      <c r="E190" s="29"/>
      <c r="F190" s="30"/>
      <c r="G190" s="28"/>
      <c r="H190" s="29"/>
      <c r="I190" s="28"/>
      <c r="J190" s="31"/>
      <c r="K190" s="27"/>
      <c r="L190" s="28"/>
      <c r="M190" s="29"/>
      <c r="N190" s="29"/>
      <c r="O190" s="28"/>
      <c r="P190" s="28"/>
      <c r="Q190" s="29"/>
      <c r="R190" s="28"/>
      <c r="S190" s="31"/>
    </row>
    <row r="191" ht="15" customHeight="1" s="4" customFormat="1">
      <c r="A191" s="67"/>
      <c r="B191" s="27"/>
      <c r="C191" s="28"/>
      <c r="D191" s="29"/>
      <c r="E191" s="29"/>
      <c r="F191" s="30"/>
      <c r="G191" s="28"/>
      <c r="H191" s="29"/>
      <c r="I191" s="28"/>
      <c r="J191" s="31"/>
      <c r="K191" s="27"/>
      <c r="L191" s="28"/>
      <c r="M191" s="29"/>
      <c r="N191" s="29"/>
      <c r="O191" s="28"/>
      <c r="P191" s="28"/>
      <c r="Q191" s="29"/>
      <c r="R191" s="28"/>
      <c r="S191" s="31"/>
    </row>
    <row r="192" ht="15" customHeight="1" s="4" customFormat="1">
      <c r="A192" s="67"/>
      <c r="B192" s="27"/>
      <c r="C192" s="28"/>
      <c r="D192" s="29"/>
      <c r="E192" s="29"/>
      <c r="F192" s="30"/>
      <c r="G192" s="28"/>
      <c r="H192" s="29"/>
      <c r="I192" s="28"/>
      <c r="J192" s="31"/>
      <c r="K192" s="27"/>
      <c r="L192" s="28"/>
      <c r="M192" s="29"/>
      <c r="N192" s="29"/>
      <c r="O192" s="28"/>
      <c r="P192" s="28"/>
      <c r="Q192" s="29"/>
      <c r="R192" s="28"/>
      <c r="S192" s="31"/>
    </row>
    <row r="193" ht="15" customHeight="1" s="4" customFormat="1">
      <c r="A193" s="67"/>
      <c r="B193" s="27"/>
      <c r="C193" s="28"/>
      <c r="D193" s="29"/>
      <c r="E193" s="29"/>
      <c r="F193" s="30"/>
      <c r="G193" s="28"/>
      <c r="H193" s="29"/>
      <c r="I193" s="28"/>
      <c r="J193" s="31"/>
      <c r="K193" s="27"/>
      <c r="L193" s="28"/>
      <c r="M193" s="29"/>
      <c r="N193" s="29"/>
      <c r="O193" s="28"/>
      <c r="P193" s="28"/>
      <c r="Q193" s="29"/>
      <c r="R193" s="28"/>
      <c r="S193" s="31"/>
    </row>
    <row r="194" ht="15" customHeight="1" s="4" customFormat="1">
      <c r="A194" s="67"/>
      <c r="B194" s="27"/>
      <c r="C194" s="28"/>
      <c r="D194" s="29"/>
      <c r="E194" s="29"/>
      <c r="F194" s="30"/>
      <c r="G194" s="28"/>
      <c r="H194" s="29"/>
      <c r="I194" s="28"/>
      <c r="J194" s="31"/>
      <c r="K194" s="27"/>
      <c r="L194" s="28"/>
      <c r="M194" s="29"/>
      <c r="N194" s="29"/>
      <c r="O194" s="28"/>
      <c r="P194" s="28"/>
      <c r="Q194" s="29"/>
      <c r="R194" s="28"/>
      <c r="S194" s="31"/>
    </row>
    <row r="195" ht="15" customHeight="1" s="4" customFormat="1">
      <c r="A195" s="67"/>
      <c r="B195" s="27"/>
      <c r="C195" s="28"/>
      <c r="D195" s="29"/>
      <c r="E195" s="29"/>
      <c r="F195" s="30"/>
      <c r="G195" s="28"/>
      <c r="H195" s="29"/>
      <c r="I195" s="28"/>
      <c r="J195" s="31"/>
      <c r="K195" s="27"/>
      <c r="L195" s="28"/>
      <c r="M195" s="29"/>
      <c r="N195" s="29"/>
      <c r="O195" s="28"/>
      <c r="P195" s="28"/>
      <c r="Q195" s="29"/>
      <c r="R195" s="28"/>
      <c r="S195" s="31"/>
    </row>
    <row r="196" ht="15" customHeight="1" s="4" customFormat="1">
      <c r="A196" s="67"/>
      <c r="B196" s="27"/>
      <c r="C196" s="28"/>
      <c r="D196" s="29"/>
      <c r="E196" s="29"/>
      <c r="F196" s="30"/>
      <c r="G196" s="28"/>
      <c r="H196" s="29"/>
      <c r="I196" s="28"/>
      <c r="J196" s="31"/>
      <c r="K196" s="27"/>
      <c r="L196" s="28"/>
      <c r="M196" s="29"/>
      <c r="N196" s="29"/>
      <c r="O196" s="28"/>
      <c r="P196" s="28"/>
      <c r="Q196" s="29"/>
      <c r="R196" s="28"/>
      <c r="S196" s="31"/>
    </row>
    <row r="197" ht="15" customHeight="1" s="4" customFormat="1">
      <c r="A197" s="67"/>
      <c r="B197" s="27"/>
      <c r="C197" s="28"/>
      <c r="D197" s="29"/>
      <c r="E197" s="29"/>
      <c r="F197" s="30"/>
      <c r="G197" s="28"/>
      <c r="H197" s="29"/>
      <c r="I197" s="28"/>
      <c r="J197" s="31"/>
      <c r="K197" s="27"/>
      <c r="L197" s="28"/>
      <c r="M197" s="29"/>
      <c r="N197" s="29"/>
      <c r="O197" s="28"/>
      <c r="P197" s="28"/>
      <c r="Q197" s="29"/>
      <c r="R197" s="28"/>
      <c r="S197" s="31"/>
    </row>
    <row r="198" ht="15" customHeight="1" s="4" customFormat="1">
      <c r="A198" s="67"/>
      <c r="B198" s="27"/>
      <c r="C198" s="28"/>
      <c r="D198" s="29"/>
      <c r="E198" s="29"/>
      <c r="F198" s="30"/>
      <c r="G198" s="28"/>
      <c r="H198" s="29"/>
      <c r="I198" s="28"/>
      <c r="J198" s="31"/>
      <c r="K198" s="27"/>
      <c r="L198" s="28"/>
      <c r="M198" s="29"/>
      <c r="N198" s="29"/>
      <c r="O198" s="28"/>
      <c r="P198" s="28"/>
      <c r="Q198" s="29"/>
      <c r="R198" s="28"/>
      <c r="S198" s="31"/>
    </row>
    <row r="199" ht="15" customHeight="1" s="4" customFormat="1">
      <c r="A199" s="67"/>
      <c r="B199" s="27"/>
      <c r="C199" s="28"/>
      <c r="D199" s="29"/>
      <c r="E199" s="29"/>
      <c r="F199" s="30"/>
      <c r="G199" s="28"/>
      <c r="H199" s="29"/>
      <c r="I199" s="28"/>
      <c r="J199" s="31"/>
      <c r="K199" s="27"/>
      <c r="L199" s="28"/>
      <c r="M199" s="29"/>
      <c r="N199" s="29"/>
      <c r="O199" s="28"/>
      <c r="P199" s="28"/>
      <c r="Q199" s="29"/>
      <c r="R199" s="28"/>
      <c r="S199" s="31"/>
    </row>
    <row r="200" ht="15" customHeight="1" s="4" customFormat="1">
      <c r="A200" s="67"/>
      <c r="B200" s="27"/>
      <c r="C200" s="28"/>
      <c r="D200" s="29"/>
      <c r="E200" s="29"/>
      <c r="F200" s="30"/>
      <c r="G200" s="28"/>
      <c r="H200" s="29"/>
      <c r="I200" s="28"/>
      <c r="J200" s="31"/>
      <c r="K200" s="27"/>
      <c r="L200" s="28"/>
      <c r="M200" s="29"/>
      <c r="N200" s="29"/>
      <c r="O200" s="28"/>
      <c r="P200" s="28"/>
      <c r="Q200" s="29"/>
      <c r="R200" s="28"/>
      <c r="S200" s="31"/>
    </row>
    <row r="201" ht="15" customHeight="1" s="4" customFormat="1">
      <c r="A201" s="67"/>
      <c r="B201" s="27"/>
      <c r="C201" s="28"/>
      <c r="D201" s="29"/>
      <c r="E201" s="29"/>
      <c r="F201" s="30"/>
      <c r="G201" s="28"/>
      <c r="H201" s="29"/>
      <c r="I201" s="28"/>
      <c r="J201" s="31"/>
      <c r="K201" s="27"/>
      <c r="L201" s="28"/>
      <c r="M201" s="29"/>
      <c r="N201" s="29"/>
      <c r="O201" s="28"/>
      <c r="P201" s="28"/>
      <c r="Q201" s="29"/>
      <c r="R201" s="28"/>
      <c r="S201" s="31"/>
    </row>
    <row r="202" ht="15" customHeight="1" s="4" customFormat="1">
      <c r="A202" s="67"/>
      <c r="B202" s="27"/>
      <c r="C202" s="28"/>
      <c r="D202" s="29"/>
      <c r="E202" s="29"/>
      <c r="F202" s="30"/>
      <c r="G202" s="28"/>
      <c r="H202" s="29"/>
      <c r="I202" s="28"/>
      <c r="J202" s="31"/>
      <c r="K202" s="27"/>
      <c r="L202" s="28"/>
      <c r="M202" s="29"/>
      <c r="N202" s="29"/>
      <c r="O202" s="28"/>
      <c r="P202" s="28"/>
      <c r="Q202" s="29"/>
      <c r="R202" s="28"/>
      <c r="S202" s="31"/>
    </row>
    <row r="203" ht="15" customHeight="1" s="4" customFormat="1">
      <c r="A203" s="67"/>
      <c r="B203" s="27"/>
      <c r="C203" s="28"/>
      <c r="D203" s="29"/>
      <c r="E203" s="29"/>
      <c r="F203" s="30"/>
      <c r="G203" s="28"/>
      <c r="H203" s="29"/>
      <c r="I203" s="28"/>
      <c r="J203" s="31"/>
      <c r="K203" s="27"/>
      <c r="L203" s="28"/>
      <c r="M203" s="29"/>
      <c r="N203" s="29"/>
      <c r="O203" s="28"/>
      <c r="P203" s="28"/>
      <c r="Q203" s="29"/>
      <c r="R203" s="28"/>
      <c r="S203" s="31"/>
    </row>
    <row r="204" ht="15" customHeight="1" s="4" customFormat="1">
      <c r="A204" s="67"/>
      <c r="B204" s="27"/>
      <c r="C204" s="28"/>
      <c r="D204" s="29"/>
      <c r="E204" s="29"/>
      <c r="F204" s="30"/>
      <c r="G204" s="28"/>
      <c r="H204" s="29"/>
      <c r="I204" s="28"/>
      <c r="J204" s="31"/>
      <c r="K204" s="27"/>
      <c r="L204" s="28"/>
      <c r="M204" s="29"/>
      <c r="N204" s="29"/>
      <c r="O204" s="28"/>
      <c r="P204" s="28"/>
      <c r="Q204" s="29"/>
      <c r="R204" s="28"/>
      <c r="S204" s="31"/>
    </row>
    <row r="205" ht="15" customHeight="1" s="4" customFormat="1">
      <c r="A205" s="67"/>
      <c r="B205" s="27"/>
      <c r="C205" s="28"/>
      <c r="D205" s="29"/>
      <c r="E205" s="29"/>
      <c r="F205" s="30"/>
      <c r="G205" s="28"/>
      <c r="H205" s="29"/>
      <c r="I205" s="28"/>
      <c r="J205" s="31"/>
      <c r="K205" s="27"/>
      <c r="L205" s="28"/>
      <c r="M205" s="29"/>
      <c r="N205" s="29"/>
      <c r="O205" s="28"/>
      <c r="P205" s="28"/>
      <c r="Q205" s="29"/>
      <c r="R205" s="28"/>
      <c r="S205" s="31"/>
    </row>
    <row r="206" ht="15" customHeight="1" s="4" customFormat="1">
      <c r="A206" s="67"/>
      <c r="B206" s="27"/>
      <c r="C206" s="28"/>
      <c r="D206" s="29"/>
      <c r="E206" s="29"/>
      <c r="F206" s="30"/>
      <c r="G206" s="28"/>
      <c r="H206" s="29"/>
      <c r="I206" s="28"/>
      <c r="J206" s="31"/>
      <c r="K206" s="27"/>
      <c r="L206" s="28"/>
      <c r="M206" s="29"/>
      <c r="N206" s="29"/>
      <c r="O206" s="28"/>
      <c r="P206" s="28"/>
      <c r="Q206" s="29"/>
      <c r="R206" s="28"/>
      <c r="S206" s="31"/>
    </row>
    <row r="207" ht="15" customHeight="1" s="4" customFormat="1">
      <c r="A207" s="67"/>
      <c r="B207" s="27"/>
      <c r="C207" s="28"/>
      <c r="D207" s="29"/>
      <c r="E207" s="29"/>
      <c r="F207" s="30"/>
      <c r="G207" s="28"/>
      <c r="H207" s="29"/>
      <c r="I207" s="28"/>
      <c r="J207" s="31"/>
      <c r="K207" s="27"/>
      <c r="L207" s="28"/>
      <c r="M207" s="29"/>
      <c r="N207" s="29"/>
      <c r="O207" s="28"/>
      <c r="P207" s="28"/>
      <c r="Q207" s="29"/>
      <c r="R207" s="28"/>
      <c r="S207" s="31"/>
    </row>
    <row r="208" ht="15" customHeight="1" s="4" customFormat="1">
      <c r="A208" s="67"/>
      <c r="B208" s="27"/>
      <c r="C208" s="28"/>
      <c r="D208" s="29"/>
      <c r="E208" s="29"/>
      <c r="F208" s="30"/>
      <c r="G208" s="28"/>
      <c r="H208" s="29"/>
      <c r="I208" s="28"/>
      <c r="J208" s="31"/>
      <c r="K208" s="27"/>
      <c r="L208" s="28"/>
      <c r="M208" s="29"/>
      <c r="N208" s="29"/>
      <c r="O208" s="28"/>
      <c r="P208" s="28"/>
      <c r="Q208" s="29"/>
      <c r="R208" s="28"/>
      <c r="S208" s="31"/>
    </row>
    <row r="209" ht="15" customHeight="1" s="4" customFormat="1">
      <c r="A209" s="67"/>
      <c r="B209" s="27"/>
      <c r="C209" s="28"/>
      <c r="D209" s="29"/>
      <c r="E209" s="29"/>
      <c r="F209" s="30"/>
      <c r="G209" s="28"/>
      <c r="H209" s="29"/>
      <c r="I209" s="28"/>
      <c r="J209" s="31"/>
      <c r="K209" s="27"/>
      <c r="L209" s="28"/>
      <c r="M209" s="29"/>
      <c r="N209" s="29"/>
      <c r="O209" s="28"/>
      <c r="P209" s="28"/>
      <c r="Q209" s="29"/>
      <c r="R209" s="28"/>
      <c r="S209" s="31"/>
    </row>
    <row r="210" ht="15" customHeight="1" s="4" customFormat="1">
      <c r="A210" s="67"/>
      <c r="B210" s="27"/>
      <c r="C210" s="28"/>
      <c r="D210" s="29"/>
      <c r="E210" s="29"/>
      <c r="F210" s="30"/>
      <c r="G210" s="28"/>
      <c r="H210" s="29"/>
      <c r="I210" s="28"/>
      <c r="J210" s="31"/>
      <c r="K210" s="27"/>
      <c r="L210" s="28"/>
      <c r="M210" s="29"/>
      <c r="N210" s="29"/>
      <c r="O210" s="28"/>
      <c r="P210" s="28"/>
      <c r="Q210" s="29"/>
      <c r="R210" s="28"/>
      <c r="S210" s="31"/>
    </row>
    <row r="211" ht="15" customHeight="1" s="4" customFormat="1">
      <c r="A211" s="67"/>
      <c r="B211" s="27"/>
      <c r="C211" s="28"/>
      <c r="D211" s="29"/>
      <c r="E211" s="29"/>
      <c r="F211" s="30"/>
      <c r="G211" s="28"/>
      <c r="H211" s="29"/>
      <c r="I211" s="28"/>
      <c r="J211" s="31"/>
      <c r="K211" s="27"/>
      <c r="L211" s="28"/>
      <c r="M211" s="29"/>
      <c r="N211" s="29"/>
      <c r="O211" s="28"/>
      <c r="P211" s="28"/>
      <c r="Q211" s="29"/>
      <c r="R211" s="28"/>
      <c r="S211" s="31"/>
    </row>
    <row r="212" ht="15" customHeight="1" s="4" customFormat="1">
      <c r="A212" s="67"/>
      <c r="B212" s="27"/>
      <c r="C212" s="28"/>
      <c r="D212" s="29"/>
      <c r="E212" s="29"/>
      <c r="F212" s="30"/>
      <c r="G212" s="28"/>
      <c r="H212" s="29"/>
      <c r="I212" s="28"/>
      <c r="J212" s="31"/>
      <c r="K212" s="27"/>
      <c r="L212" s="28"/>
      <c r="M212" s="29"/>
      <c r="N212" s="29"/>
      <c r="O212" s="28"/>
      <c r="P212" s="28"/>
      <c r="Q212" s="29"/>
      <c r="R212" s="28"/>
      <c r="S212" s="31"/>
    </row>
    <row r="213" ht="15" customHeight="1" s="4" customFormat="1">
      <c r="A213" s="67"/>
      <c r="B213" s="27"/>
      <c r="C213" s="28"/>
      <c r="D213" s="29"/>
      <c r="E213" s="29"/>
      <c r="F213" s="30"/>
      <c r="G213" s="28"/>
      <c r="H213" s="29"/>
      <c r="I213" s="28"/>
      <c r="J213" s="31"/>
      <c r="K213" s="27"/>
      <c r="L213" s="28"/>
      <c r="M213" s="29"/>
      <c r="N213" s="29"/>
      <c r="O213" s="28"/>
      <c r="P213" s="28"/>
      <c r="Q213" s="29"/>
      <c r="R213" s="28"/>
      <c r="S213" s="31"/>
    </row>
    <row r="214" ht="15" customHeight="1" s="4" customFormat="1">
      <c r="A214" s="67"/>
      <c r="B214" s="27"/>
      <c r="C214" s="28"/>
      <c r="D214" s="29"/>
      <c r="E214" s="29"/>
      <c r="F214" s="30"/>
      <c r="G214" s="28"/>
      <c r="H214" s="29"/>
      <c r="I214" s="28"/>
      <c r="J214" s="31"/>
      <c r="K214" s="27"/>
      <c r="L214" s="28"/>
      <c r="M214" s="29"/>
      <c r="N214" s="29"/>
      <c r="O214" s="28"/>
      <c r="P214" s="28"/>
      <c r="Q214" s="29"/>
      <c r="R214" s="28"/>
      <c r="S214" s="31"/>
    </row>
    <row r="215" ht="15" customHeight="1" s="4" customFormat="1">
      <c r="A215" s="67"/>
      <c r="B215" s="27"/>
      <c r="C215" s="28"/>
      <c r="D215" s="29"/>
      <c r="E215" s="29"/>
      <c r="F215" s="30"/>
      <c r="G215" s="28"/>
      <c r="H215" s="29"/>
      <c r="I215" s="28"/>
      <c r="J215" s="31"/>
      <c r="K215" s="27"/>
      <c r="L215" s="28"/>
      <c r="M215" s="29"/>
      <c r="N215" s="29"/>
      <c r="O215" s="28"/>
      <c r="P215" s="28"/>
      <c r="Q215" s="29"/>
      <c r="R215" s="28"/>
      <c r="S215" s="31"/>
    </row>
    <row r="216" ht="15" customHeight="1" s="4" customFormat="1">
      <c r="A216" s="67"/>
      <c r="B216" s="27"/>
      <c r="C216" s="28"/>
      <c r="D216" s="29"/>
      <c r="E216" s="29"/>
      <c r="F216" s="30"/>
      <c r="G216" s="28"/>
      <c r="H216" s="29"/>
      <c r="I216" s="28"/>
      <c r="J216" s="31"/>
      <c r="K216" s="27"/>
      <c r="L216" s="28"/>
      <c r="M216" s="29"/>
      <c r="N216" s="29"/>
      <c r="O216" s="28"/>
      <c r="P216" s="28"/>
      <c r="Q216" s="29"/>
      <c r="R216" s="28"/>
      <c r="S216" s="31"/>
    </row>
    <row r="217" ht="15" customHeight="1" s="4" customFormat="1">
      <c r="A217" s="67"/>
      <c r="B217" s="27"/>
      <c r="C217" s="28"/>
      <c r="D217" s="29"/>
      <c r="E217" s="29"/>
      <c r="F217" s="30"/>
      <c r="G217" s="28"/>
      <c r="H217" s="29"/>
      <c r="I217" s="28"/>
      <c r="J217" s="31"/>
      <c r="K217" s="27"/>
      <c r="L217" s="28"/>
      <c r="M217" s="29"/>
      <c r="N217" s="29"/>
      <c r="O217" s="28"/>
      <c r="P217" s="28"/>
      <c r="Q217" s="29"/>
      <c r="R217" s="28"/>
      <c r="S217" s="31"/>
    </row>
    <row r="218" ht="15" customHeight="1" s="4" customFormat="1">
      <c r="A218" s="67"/>
      <c r="B218" s="27"/>
      <c r="C218" s="28"/>
      <c r="D218" s="29"/>
      <c r="E218" s="29"/>
      <c r="F218" s="30"/>
      <c r="G218" s="28"/>
      <c r="H218" s="29"/>
      <c r="I218" s="28"/>
      <c r="J218" s="31"/>
      <c r="K218" s="27"/>
      <c r="L218" s="28"/>
      <c r="M218" s="29"/>
      <c r="N218" s="29"/>
      <c r="O218" s="28"/>
      <c r="P218" s="28"/>
      <c r="Q218" s="29"/>
      <c r="R218" s="28"/>
      <c r="S218" s="31"/>
    </row>
    <row r="219" ht="15" customHeight="1" s="4" customFormat="1">
      <c r="A219" s="67"/>
      <c r="B219" s="27"/>
      <c r="C219" s="28"/>
      <c r="D219" s="29"/>
      <c r="E219" s="29"/>
      <c r="F219" s="30"/>
      <c r="G219" s="28"/>
      <c r="H219" s="29"/>
      <c r="I219" s="28"/>
      <c r="J219" s="31"/>
      <c r="K219" s="27"/>
      <c r="L219" s="28"/>
      <c r="M219" s="29"/>
      <c r="N219" s="29"/>
      <c r="O219" s="28"/>
      <c r="P219" s="28"/>
      <c r="Q219" s="29"/>
      <c r="R219" s="28"/>
      <c r="S219" s="31"/>
    </row>
    <row r="220" ht="15" customHeight="1" s="4" customFormat="1">
      <c r="A220" s="67"/>
      <c r="B220" s="27"/>
      <c r="C220" s="28"/>
      <c r="D220" s="29"/>
      <c r="E220" s="29"/>
      <c r="F220" s="30"/>
      <c r="G220" s="28"/>
      <c r="H220" s="29"/>
      <c r="I220" s="28"/>
      <c r="J220" s="31"/>
      <c r="K220" s="27"/>
      <c r="L220" s="28"/>
      <c r="M220" s="29"/>
      <c r="N220" s="29"/>
      <c r="O220" s="28"/>
      <c r="P220" s="28"/>
      <c r="Q220" s="29"/>
      <c r="R220" s="28"/>
      <c r="S220" s="31"/>
    </row>
    <row r="221" ht="15" customHeight="1" s="4" customFormat="1">
      <c r="A221" s="67"/>
      <c r="B221" s="27"/>
      <c r="C221" s="28"/>
      <c r="D221" s="29"/>
      <c r="E221" s="29"/>
      <c r="F221" s="30"/>
      <c r="G221" s="28"/>
      <c r="H221" s="29"/>
      <c r="I221" s="28"/>
      <c r="J221" s="31"/>
      <c r="K221" s="27"/>
      <c r="L221" s="28"/>
      <c r="M221" s="29"/>
      <c r="N221" s="29"/>
      <c r="O221" s="28"/>
      <c r="P221" s="28"/>
      <c r="Q221" s="29"/>
      <c r="R221" s="28"/>
      <c r="S221" s="31"/>
    </row>
    <row r="222" ht="15" customHeight="1" s="4" customFormat="1">
      <c r="A222" s="67"/>
      <c r="B222" s="27"/>
      <c r="C222" s="28"/>
      <c r="D222" s="29"/>
      <c r="E222" s="29"/>
      <c r="F222" s="30"/>
      <c r="G222" s="28"/>
      <c r="H222" s="29"/>
      <c r="I222" s="28"/>
      <c r="J222" s="31"/>
      <c r="K222" s="27"/>
      <c r="L222" s="28"/>
      <c r="M222" s="29"/>
      <c r="N222" s="29"/>
      <c r="O222" s="28"/>
      <c r="P222" s="28"/>
      <c r="Q222" s="29"/>
      <c r="R222" s="28"/>
      <c r="S222" s="31"/>
    </row>
    <row r="223" ht="15" customHeight="1" s="4" customFormat="1">
      <c r="A223" s="67"/>
      <c r="B223" s="27"/>
      <c r="C223" s="28"/>
      <c r="D223" s="29"/>
      <c r="E223" s="29"/>
      <c r="F223" s="30"/>
      <c r="G223" s="28"/>
      <c r="H223" s="29"/>
      <c r="I223" s="28"/>
      <c r="J223" s="31"/>
      <c r="K223" s="27"/>
      <c r="L223" s="28"/>
      <c r="M223" s="29"/>
      <c r="N223" s="29"/>
      <c r="O223" s="28"/>
      <c r="P223" s="28"/>
      <c r="Q223" s="29"/>
      <c r="R223" s="28"/>
      <c r="S223" s="31"/>
    </row>
    <row r="224" ht="15" customHeight="1" s="4" customFormat="1">
      <c r="A224" s="67"/>
      <c r="B224" s="27"/>
      <c r="C224" s="28"/>
      <c r="D224" s="29"/>
      <c r="E224" s="29"/>
      <c r="F224" s="30"/>
      <c r="G224" s="28"/>
      <c r="H224" s="29"/>
      <c r="I224" s="28"/>
      <c r="J224" s="31"/>
      <c r="K224" s="27"/>
      <c r="L224" s="28"/>
      <c r="M224" s="29"/>
      <c r="N224" s="29"/>
      <c r="O224" s="28"/>
      <c r="P224" s="28"/>
      <c r="Q224" s="29"/>
      <c r="R224" s="28"/>
      <c r="S224" s="31"/>
    </row>
    <row r="225" ht="15" customHeight="1" s="4" customFormat="1">
      <c r="A225" s="67"/>
      <c r="B225" s="27"/>
      <c r="C225" s="28"/>
      <c r="D225" s="29"/>
      <c r="E225" s="29"/>
      <c r="F225" s="30"/>
      <c r="G225" s="28"/>
      <c r="H225" s="29"/>
      <c r="I225" s="28"/>
      <c r="J225" s="31"/>
      <c r="K225" s="27"/>
      <c r="L225" s="28"/>
      <c r="M225" s="29"/>
      <c r="N225" s="29"/>
      <c r="O225" s="28"/>
      <c r="P225" s="28"/>
      <c r="Q225" s="29"/>
      <c r="R225" s="28"/>
      <c r="S225" s="31"/>
    </row>
    <row r="226" ht="15" customHeight="1" s="4" customFormat="1">
      <c r="A226" s="67"/>
      <c r="B226" s="27"/>
      <c r="C226" s="28"/>
      <c r="D226" s="29"/>
      <c r="E226" s="29"/>
      <c r="F226" s="30"/>
      <c r="G226" s="28"/>
      <c r="H226" s="29"/>
      <c r="I226" s="28"/>
      <c r="J226" s="31"/>
      <c r="K226" s="27"/>
      <c r="L226" s="28"/>
      <c r="M226" s="29"/>
      <c r="N226" s="29"/>
      <c r="O226" s="28"/>
      <c r="P226" s="28"/>
      <c r="Q226" s="29"/>
      <c r="R226" s="28"/>
      <c r="S226" s="31"/>
    </row>
    <row r="227" ht="15" customHeight="1" s="4" customFormat="1">
      <c r="A227" s="67"/>
      <c r="B227" s="27"/>
      <c r="C227" s="28"/>
      <c r="D227" s="29"/>
      <c r="E227" s="29"/>
      <c r="F227" s="30"/>
      <c r="G227" s="28"/>
      <c r="H227" s="29"/>
      <c r="I227" s="28"/>
      <c r="J227" s="31"/>
      <c r="K227" s="27"/>
      <c r="L227" s="28"/>
      <c r="M227" s="29"/>
      <c r="N227" s="29"/>
      <c r="O227" s="28"/>
      <c r="P227" s="28"/>
      <c r="Q227" s="29"/>
      <c r="R227" s="28"/>
      <c r="S227" s="31"/>
    </row>
    <row r="228" ht="15" customHeight="1" s="4" customFormat="1">
      <c r="A228" s="67"/>
      <c r="B228" s="27"/>
      <c r="C228" s="28"/>
      <c r="D228" s="29"/>
      <c r="E228" s="29"/>
      <c r="F228" s="30"/>
      <c r="G228" s="28"/>
      <c r="H228" s="29"/>
      <c r="I228" s="28"/>
      <c r="J228" s="31"/>
      <c r="K228" s="27"/>
      <c r="L228" s="28"/>
      <c r="M228" s="29"/>
      <c r="N228" s="29"/>
      <c r="O228" s="28"/>
      <c r="P228" s="28"/>
      <c r="Q228" s="29"/>
      <c r="R228" s="28"/>
      <c r="S228" s="31"/>
    </row>
    <row r="229" ht="15" customHeight="1" s="4" customFormat="1">
      <c r="A229" s="67"/>
      <c r="B229" s="27"/>
      <c r="C229" s="28"/>
      <c r="D229" s="29"/>
      <c r="E229" s="29"/>
      <c r="F229" s="30"/>
      <c r="G229" s="28"/>
      <c r="H229" s="29"/>
      <c r="I229" s="28"/>
      <c r="J229" s="31"/>
      <c r="K229" s="27"/>
      <c r="L229" s="28"/>
      <c r="M229" s="29"/>
      <c r="N229" s="29"/>
      <c r="O229" s="28"/>
      <c r="P229" s="28"/>
      <c r="Q229" s="29"/>
      <c r="R229" s="28"/>
      <c r="S229" s="31"/>
    </row>
    <row r="230" ht="15" customHeight="1" s="4" customFormat="1">
      <c r="A230" s="67"/>
      <c r="B230" s="27"/>
      <c r="C230" s="28"/>
      <c r="D230" s="29"/>
      <c r="E230" s="29"/>
      <c r="F230" s="30"/>
      <c r="G230" s="28"/>
      <c r="H230" s="29"/>
      <c r="I230" s="28"/>
      <c r="J230" s="31"/>
      <c r="K230" s="27"/>
      <c r="L230" s="28"/>
      <c r="M230" s="29"/>
      <c r="N230" s="29"/>
      <c r="O230" s="28"/>
      <c r="P230" s="28"/>
      <c r="Q230" s="29"/>
      <c r="R230" s="28"/>
      <c r="S230" s="31"/>
    </row>
    <row r="231" ht="15" customHeight="1" s="4" customFormat="1">
      <c r="A231" s="67"/>
      <c r="B231" s="27"/>
      <c r="C231" s="28"/>
      <c r="D231" s="29"/>
      <c r="E231" s="29"/>
      <c r="F231" s="30"/>
      <c r="G231" s="28"/>
      <c r="H231" s="29"/>
      <c r="I231" s="28"/>
      <c r="J231" s="31"/>
      <c r="K231" s="27"/>
      <c r="L231" s="28"/>
      <c r="M231" s="29"/>
      <c r="N231" s="29"/>
      <c r="O231" s="28"/>
      <c r="P231" s="28"/>
      <c r="Q231" s="29"/>
      <c r="R231" s="28"/>
      <c r="S231" s="31"/>
    </row>
    <row r="232" ht="15" customHeight="1" s="4" customFormat="1">
      <c r="A232" s="67"/>
      <c r="B232" s="27"/>
      <c r="C232" s="28"/>
      <c r="D232" s="29"/>
      <c r="E232" s="29"/>
      <c r="F232" s="30"/>
      <c r="G232" s="28"/>
      <c r="H232" s="29"/>
      <c r="I232" s="28"/>
      <c r="J232" s="31"/>
      <c r="K232" s="27"/>
      <c r="L232" s="28"/>
      <c r="M232" s="29"/>
      <c r="N232" s="29"/>
      <c r="O232" s="28"/>
      <c r="P232" s="28"/>
      <c r="Q232" s="29"/>
      <c r="R232" s="28"/>
      <c r="S232" s="31"/>
    </row>
    <row r="233" ht="15" customHeight="1" s="4" customFormat="1">
      <c r="A233" s="67"/>
      <c r="B233" s="27"/>
      <c r="C233" s="28"/>
      <c r="D233" s="29"/>
      <c r="E233" s="29"/>
      <c r="F233" s="30"/>
      <c r="G233" s="28"/>
      <c r="H233" s="29"/>
      <c r="I233" s="28"/>
      <c r="J233" s="31"/>
      <c r="K233" s="27"/>
      <c r="L233" s="28"/>
      <c r="M233" s="29"/>
      <c r="N233" s="29"/>
      <c r="O233" s="28"/>
      <c r="P233" s="28"/>
      <c r="Q233" s="29"/>
      <c r="R233" s="28"/>
      <c r="S233" s="31"/>
    </row>
    <row r="234" ht="15" customHeight="1" s="4" customFormat="1">
      <c r="A234" s="67"/>
      <c r="B234" s="27"/>
      <c r="C234" s="28"/>
      <c r="D234" s="29"/>
      <c r="E234" s="29"/>
      <c r="F234" s="30"/>
      <c r="G234" s="28"/>
      <c r="H234" s="29"/>
      <c r="I234" s="28"/>
      <c r="J234" s="31"/>
      <c r="K234" s="27"/>
      <c r="L234" s="28"/>
      <c r="M234" s="29"/>
      <c r="N234" s="29"/>
      <c r="O234" s="28"/>
      <c r="P234" s="28"/>
      <c r="Q234" s="29"/>
      <c r="R234" s="28"/>
      <c r="S234" s="31"/>
    </row>
    <row r="235" ht="15" customHeight="1" s="4" customFormat="1">
      <c r="A235" s="67"/>
      <c r="B235" s="27"/>
      <c r="C235" s="28"/>
      <c r="D235" s="29"/>
      <c r="E235" s="29"/>
      <c r="F235" s="30"/>
      <c r="G235" s="28"/>
      <c r="H235" s="29"/>
      <c r="I235" s="28"/>
      <c r="J235" s="31"/>
      <c r="K235" s="27"/>
      <c r="L235" s="28"/>
      <c r="M235" s="29"/>
      <c r="N235" s="29"/>
      <c r="O235" s="28"/>
      <c r="P235" s="28"/>
      <c r="Q235" s="29"/>
      <c r="R235" s="28"/>
      <c r="S235" s="31"/>
    </row>
    <row r="236" ht="15" customHeight="1" s="4" customFormat="1">
      <c r="A236" s="67"/>
      <c r="B236" s="27"/>
      <c r="C236" s="28"/>
      <c r="D236" s="29"/>
      <c r="E236" s="29"/>
      <c r="F236" s="30"/>
      <c r="G236" s="28"/>
      <c r="H236" s="29"/>
      <c r="I236" s="28"/>
      <c r="J236" s="31"/>
      <c r="K236" s="27"/>
      <c r="L236" s="28"/>
      <c r="M236" s="29"/>
      <c r="N236" s="29"/>
      <c r="O236" s="28"/>
      <c r="P236" s="28"/>
      <c r="Q236" s="29"/>
      <c r="R236" s="28"/>
      <c r="S236" s="31"/>
      <c r="U236" s="4" t="s">
        <v>84</v>
      </c>
      <c r="Y236" s="4" t="s">
        <v>104</v>
      </c>
    </row>
    <row r="237" ht="15.6" customHeight="1" s="4" customFormat="1">
      <c r="A237" s="67"/>
      <c r="B237" s="27"/>
      <c r="C237" s="28"/>
      <c r="D237" s="29"/>
      <c r="E237" s="29"/>
      <c r="F237" s="30"/>
      <c r="G237" s="28"/>
      <c r="H237" s="29"/>
      <c r="I237" s="28"/>
      <c r="J237" s="31"/>
      <c r="K237" s="27"/>
      <c r="L237" s="28"/>
      <c r="M237" s="29"/>
      <c r="N237" s="29"/>
      <c r="O237" s="28"/>
      <c r="P237" s="28"/>
      <c r="Q237" s="29"/>
      <c r="R237" s="28"/>
      <c r="S237" s="31"/>
      <c r="U237" s="41" t="s">
        <v>84</v>
      </c>
      <c r="V237" s="42"/>
      <c r="W237" s="42"/>
      <c r="Y237" s="43" t="s">
        <v>104</v>
      </c>
    </row>
    <row r="238" ht="15" customHeight="1" s="4" customFormat="1">
      <c r="A238" s="67"/>
      <c r="B238" s="27"/>
      <c r="C238" s="28"/>
      <c r="D238" s="29"/>
      <c r="E238" s="29"/>
      <c r="F238" s="30"/>
      <c r="G238" s="28"/>
      <c r="H238" s="29"/>
      <c r="I238" s="28"/>
      <c r="J238" s="31"/>
      <c r="K238" s="27"/>
      <c r="L238" s="28"/>
      <c r="M238" s="29"/>
      <c r="N238" s="29"/>
      <c r="O238" s="28"/>
      <c r="P238" s="28"/>
      <c r="Q238" s="29"/>
      <c r="R238" s="28"/>
      <c r="S238" s="31"/>
      <c r="U238" s="4" t="s">
        <v>84</v>
      </c>
      <c r="Y238" s="4" t="s">
        <v>104</v>
      </c>
    </row>
    <row r="239" ht="15" customHeight="1" s="4" customFormat="1">
      <c r="A239" s="67"/>
      <c r="B239" s="27"/>
      <c r="C239" s="28"/>
      <c r="D239" s="29"/>
      <c r="E239" s="29"/>
      <c r="F239" s="30"/>
      <c r="G239" s="28"/>
      <c r="H239" s="29"/>
      <c r="I239" s="28"/>
      <c r="J239" s="31"/>
      <c r="K239" s="27"/>
      <c r="L239" s="28"/>
      <c r="M239" s="29"/>
      <c r="N239" s="29"/>
      <c r="O239" s="28"/>
      <c r="P239" s="28"/>
      <c r="Q239" s="29"/>
      <c r="R239" s="28"/>
      <c r="S239" s="31"/>
      <c r="U239" s="4" t="s">
        <v>84</v>
      </c>
      <c r="Y239" s="4" t="s">
        <v>104</v>
      </c>
    </row>
    <row r="240" ht="15" customHeight="1" s="4" customFormat="1">
      <c r="A240" s="67"/>
      <c r="B240" s="27"/>
      <c r="C240" s="28"/>
      <c r="D240" s="29"/>
      <c r="E240" s="29"/>
      <c r="F240" s="30"/>
      <c r="G240" s="28"/>
      <c r="H240" s="29"/>
      <c r="I240" s="28"/>
      <c r="J240" s="31"/>
      <c r="K240" s="27"/>
      <c r="L240" s="28"/>
      <c r="M240" s="29"/>
      <c r="N240" s="29"/>
      <c r="O240" s="28"/>
      <c r="P240" s="28"/>
      <c r="Q240" s="29"/>
      <c r="R240" s="28"/>
      <c r="S240" s="31"/>
      <c r="U240" s="4" t="s">
        <v>84</v>
      </c>
      <c r="Y240" s="4" t="s">
        <v>104</v>
      </c>
    </row>
    <row r="241" ht="15" customHeight="1" s="4" customFormat="1">
      <c r="A241" s="67"/>
      <c r="B241" s="27"/>
      <c r="C241" s="28"/>
      <c r="D241" s="29"/>
      <c r="E241" s="29"/>
      <c r="F241" s="30"/>
      <c r="G241" s="28"/>
      <c r="H241" s="29"/>
      <c r="I241" s="28"/>
      <c r="J241" s="31"/>
      <c r="K241" s="27"/>
      <c r="L241" s="28"/>
      <c r="M241" s="29"/>
      <c r="N241" s="29"/>
      <c r="O241" s="28"/>
      <c r="P241" s="28"/>
      <c r="Q241" s="29"/>
      <c r="R241" s="28"/>
      <c r="S241" s="31"/>
      <c r="U241" s="4" t="s">
        <v>84</v>
      </c>
      <c r="Y241" s="4" t="s">
        <v>104</v>
      </c>
    </row>
    <row r="242" ht="15" customHeight="1" s="4" customFormat="1">
      <c r="A242" s="67"/>
      <c r="B242" s="27"/>
      <c r="C242" s="28"/>
      <c r="D242" s="29"/>
      <c r="E242" s="29"/>
      <c r="F242" s="30"/>
      <c r="G242" s="28"/>
      <c r="H242" s="29"/>
      <c r="I242" s="28"/>
      <c r="J242" s="31"/>
      <c r="K242" s="27"/>
      <c r="L242" s="28"/>
      <c r="M242" s="29"/>
      <c r="N242" s="29"/>
      <c r="O242" s="28"/>
      <c r="P242" s="28"/>
      <c r="Q242" s="29"/>
      <c r="R242" s="28"/>
      <c r="S242" s="31"/>
      <c r="U242" s="4" t="s">
        <v>84</v>
      </c>
      <c r="Y242" s="4" t="s">
        <v>104</v>
      </c>
    </row>
    <row r="243" ht="15" customHeight="1" s="4" customFormat="1">
      <c r="A243" s="67"/>
      <c r="B243" s="27"/>
      <c r="C243" s="28"/>
      <c r="D243" s="29"/>
      <c r="E243" s="29"/>
      <c r="F243" s="30"/>
      <c r="G243" s="28"/>
      <c r="H243" s="29"/>
      <c r="I243" s="28"/>
      <c r="J243" s="31"/>
      <c r="K243" s="27"/>
      <c r="L243" s="28"/>
      <c r="M243" s="29"/>
      <c r="N243" s="29"/>
      <c r="O243" s="28"/>
      <c r="P243" s="28"/>
      <c r="Q243" s="29"/>
      <c r="R243" s="28"/>
      <c r="S243" s="31"/>
      <c r="U243" s="4" t="s">
        <v>84</v>
      </c>
      <c r="Y243" s="4" t="s">
        <v>104</v>
      </c>
    </row>
    <row r="244" ht="15.6" customHeight="1" s="4" customFormat="1">
      <c r="A244" s="67"/>
      <c r="B244" s="27"/>
      <c r="C244" s="28"/>
      <c r="D244" s="29"/>
      <c r="E244" s="29"/>
      <c r="F244" s="30"/>
      <c r="G244" s="28"/>
      <c r="H244" s="29"/>
      <c r="I244" s="28"/>
      <c r="J244" s="31"/>
      <c r="K244" s="27"/>
      <c r="L244" s="28"/>
      <c r="M244" s="29"/>
      <c r="N244" s="29"/>
      <c r="O244" s="28"/>
      <c r="P244" s="28"/>
      <c r="Q244" s="29"/>
      <c r="R244" s="28"/>
      <c r="S244" s="31"/>
      <c r="U244" s="41" t="s">
        <v>84</v>
      </c>
      <c r="V244" s="42"/>
      <c r="W244" s="42"/>
      <c r="Y244" s="43" t="s">
        <v>104</v>
      </c>
    </row>
    <row r="245" ht="15.6" customHeight="1" s="4" customFormat="1">
      <c r="A245" s="67"/>
      <c r="B245" s="27"/>
      <c r="C245" s="28"/>
      <c r="D245" s="29"/>
      <c r="E245" s="29"/>
      <c r="F245" s="30"/>
      <c r="G245" s="28"/>
      <c r="H245" s="29"/>
      <c r="I245" s="28"/>
      <c r="J245" s="31"/>
      <c r="K245" s="27"/>
      <c r="L245" s="28"/>
      <c r="M245" s="29"/>
      <c r="N245" s="29"/>
      <c r="O245" s="28"/>
      <c r="P245" s="28"/>
      <c r="Q245" s="29"/>
      <c r="R245" s="28"/>
      <c r="S245" s="31"/>
      <c r="U245" s="41" t="s">
        <v>84</v>
      </c>
      <c r="V245" s="42"/>
      <c r="W245" s="42"/>
      <c r="Y245" s="43" t="s">
        <v>104</v>
      </c>
    </row>
    <row r="246" ht="15.6" customHeight="1" s="4" customFormat="1">
      <c r="A246" s="67"/>
      <c r="B246" s="27"/>
      <c r="C246" s="28"/>
      <c r="D246" s="29"/>
      <c r="E246" s="29"/>
      <c r="F246" s="30"/>
      <c r="G246" s="28"/>
      <c r="H246" s="29"/>
      <c r="I246" s="28"/>
      <c r="J246" s="31"/>
      <c r="K246" s="27"/>
      <c r="L246" s="28"/>
      <c r="M246" s="29"/>
      <c r="N246" s="29"/>
      <c r="O246" s="28"/>
      <c r="P246" s="28"/>
      <c r="Q246" s="29"/>
      <c r="R246" s="28"/>
      <c r="S246" s="31"/>
      <c r="U246" s="41" t="s">
        <v>84</v>
      </c>
      <c r="V246" s="42"/>
      <c r="W246" s="42"/>
      <c r="Y246" s="43" t="s">
        <v>104</v>
      </c>
    </row>
    <row r="247" ht="15.6" customHeight="1" s="4" customFormat="1">
      <c r="A247" s="67"/>
      <c r="B247" s="27"/>
      <c r="C247" s="28"/>
      <c r="D247" s="29"/>
      <c r="E247" s="29"/>
      <c r="F247" s="30"/>
      <c r="G247" s="28"/>
      <c r="H247" s="29"/>
      <c r="I247" s="28"/>
      <c r="J247" s="31"/>
      <c r="K247" s="27"/>
      <c r="L247" s="28"/>
      <c r="M247" s="29"/>
      <c r="N247" s="29"/>
      <c r="O247" s="28"/>
      <c r="P247" s="28"/>
      <c r="Q247" s="29"/>
      <c r="R247" s="28"/>
      <c r="S247" s="31"/>
      <c r="U247" s="41" t="s">
        <v>84</v>
      </c>
      <c r="V247" s="42"/>
      <c r="W247" s="42"/>
      <c r="Y247" s="43" t="s">
        <v>104</v>
      </c>
    </row>
    <row r="248" ht="15.6" customHeight="1" s="4" customFormat="1">
      <c r="A248" s="67"/>
      <c r="B248" s="27"/>
      <c r="C248" s="28"/>
      <c r="D248" s="29"/>
      <c r="E248" s="29"/>
      <c r="F248" s="30"/>
      <c r="G248" s="28"/>
      <c r="H248" s="29"/>
      <c r="I248" s="28"/>
      <c r="J248" s="31"/>
      <c r="K248" s="27"/>
      <c r="L248" s="28"/>
      <c r="M248" s="29"/>
      <c r="N248" s="29"/>
      <c r="O248" s="28"/>
      <c r="P248" s="28"/>
      <c r="Q248" s="29"/>
      <c r="R248" s="28"/>
      <c r="S248" s="31"/>
      <c r="U248" s="41" t="s">
        <v>84</v>
      </c>
      <c r="V248" s="42"/>
      <c r="W248" s="42"/>
      <c r="Y248" s="43" t="s">
        <v>104</v>
      </c>
    </row>
    <row r="249" ht="15.6" customHeight="1" s="4" customFormat="1">
      <c r="A249" s="67"/>
      <c r="B249" s="27"/>
      <c r="C249" s="28"/>
      <c r="D249" s="29"/>
      <c r="E249" s="29"/>
      <c r="F249" s="30"/>
      <c r="G249" s="28"/>
      <c r="H249" s="29"/>
      <c r="I249" s="28"/>
      <c r="J249" s="31"/>
      <c r="K249" s="27"/>
      <c r="L249" s="28"/>
      <c r="M249" s="29"/>
      <c r="N249" s="29"/>
      <c r="O249" s="28"/>
      <c r="P249" s="28"/>
      <c r="Q249" s="29"/>
      <c r="R249" s="28"/>
      <c r="S249" s="31"/>
      <c r="U249" s="41" t="s">
        <v>84</v>
      </c>
      <c r="V249" s="42"/>
      <c r="W249" s="42"/>
      <c r="Y249" s="43" t="s">
        <v>104</v>
      </c>
    </row>
    <row r="250" ht="15.6" customHeight="1" s="4" customFormat="1">
      <c r="A250" s="67"/>
      <c r="B250" s="27"/>
      <c r="C250" s="28"/>
      <c r="D250" s="29"/>
      <c r="E250" s="29"/>
      <c r="F250" s="30"/>
      <c r="G250" s="28"/>
      <c r="H250" s="29"/>
      <c r="I250" s="28"/>
      <c r="J250" s="31"/>
      <c r="K250" s="27"/>
      <c r="L250" s="28"/>
      <c r="M250" s="29"/>
      <c r="N250" s="29"/>
      <c r="O250" s="28"/>
      <c r="P250" s="28"/>
      <c r="Q250" s="29"/>
      <c r="R250" s="28"/>
      <c r="S250" s="31"/>
      <c r="U250" s="41" t="s">
        <v>84</v>
      </c>
      <c r="V250" s="42"/>
      <c r="W250" s="42"/>
      <c r="Y250" s="43" t="s">
        <v>104</v>
      </c>
    </row>
    <row r="251" ht="15.6" customHeight="1" s="4" customFormat="1">
      <c r="A251" s="67"/>
      <c r="B251" s="27"/>
      <c r="C251" s="28"/>
      <c r="D251" s="29"/>
      <c r="E251" s="29"/>
      <c r="F251" s="30"/>
      <c r="G251" s="28"/>
      <c r="H251" s="29"/>
      <c r="I251" s="28"/>
      <c r="J251" s="31"/>
      <c r="K251" s="27"/>
      <c r="L251" s="28"/>
      <c r="M251" s="29"/>
      <c r="N251" s="29"/>
      <c r="O251" s="28"/>
      <c r="P251" s="28"/>
      <c r="Q251" s="29"/>
      <c r="R251" s="28"/>
      <c r="S251" s="31"/>
      <c r="U251" s="41" t="s">
        <v>84</v>
      </c>
      <c r="V251" s="42"/>
      <c r="W251" s="42"/>
      <c r="Y251" s="43" t="s">
        <v>104</v>
      </c>
    </row>
    <row r="252" ht="15.6" customHeight="1" s="4" customFormat="1">
      <c r="A252" s="67"/>
      <c r="B252" s="27"/>
      <c r="C252" s="28"/>
      <c r="D252" s="29"/>
      <c r="E252" s="29"/>
      <c r="F252" s="30"/>
      <c r="G252" s="28"/>
      <c r="H252" s="29"/>
      <c r="I252" s="28"/>
      <c r="J252" s="31"/>
      <c r="K252" s="27"/>
      <c r="L252" s="28"/>
      <c r="M252" s="29"/>
      <c r="N252" s="29"/>
      <c r="O252" s="28"/>
      <c r="P252" s="28"/>
      <c r="Q252" s="29"/>
      <c r="R252" s="28"/>
      <c r="S252" s="31"/>
      <c r="U252" s="41" t="s">
        <v>84</v>
      </c>
      <c r="V252" s="42"/>
      <c r="W252" s="42"/>
      <c r="Y252" s="43" t="s">
        <v>104</v>
      </c>
    </row>
    <row r="253" ht="15.6" customHeight="1" s="4" customFormat="1">
      <c r="A253" s="67"/>
      <c r="B253" s="27"/>
      <c r="C253" s="28"/>
      <c r="D253" s="29"/>
      <c r="E253" s="29"/>
      <c r="F253" s="30"/>
      <c r="G253" s="28"/>
      <c r="H253" s="29"/>
      <c r="I253" s="28"/>
      <c r="J253" s="31"/>
      <c r="K253" s="27"/>
      <c r="L253" s="28"/>
      <c r="M253" s="29"/>
      <c r="N253" s="29"/>
      <c r="O253" s="28"/>
      <c r="P253" s="28"/>
      <c r="Q253" s="29"/>
      <c r="R253" s="28"/>
      <c r="S253" s="31"/>
      <c r="U253" s="41" t="s">
        <v>84</v>
      </c>
      <c r="V253" s="42"/>
      <c r="W253" s="42"/>
      <c r="Y253" s="43" t="s">
        <v>104</v>
      </c>
    </row>
    <row r="254" ht="15.6" customHeight="1" s="4" customFormat="1">
      <c r="A254" s="67"/>
      <c r="B254" s="27"/>
      <c r="C254" s="28"/>
      <c r="D254" s="29"/>
      <c r="E254" s="29"/>
      <c r="F254" s="30"/>
      <c r="G254" s="28"/>
      <c r="H254" s="29"/>
      <c r="I254" s="28"/>
      <c r="J254" s="31"/>
      <c r="K254" s="27"/>
      <c r="L254" s="28"/>
      <c r="M254" s="29"/>
      <c r="N254" s="29"/>
      <c r="O254" s="28"/>
      <c r="P254" s="28"/>
      <c r="Q254" s="29"/>
      <c r="R254" s="28"/>
      <c r="S254" s="31"/>
      <c r="U254" s="41" t="s">
        <v>84</v>
      </c>
      <c r="V254" s="42"/>
      <c r="W254" s="42"/>
      <c r="Y254" s="43" t="s">
        <v>104</v>
      </c>
    </row>
    <row r="255" ht="15.6" customHeight="1" s="4" customFormat="1">
      <c r="A255" s="67"/>
      <c r="B255" s="27"/>
      <c r="C255" s="28"/>
      <c r="D255" s="29"/>
      <c r="E255" s="29"/>
      <c r="F255" s="30"/>
      <c r="G255" s="28"/>
      <c r="H255" s="29"/>
      <c r="I255" s="28"/>
      <c r="J255" s="31"/>
      <c r="K255" s="27"/>
      <c r="L255" s="28"/>
      <c r="M255" s="29"/>
      <c r="N255" s="29"/>
      <c r="O255" s="28"/>
      <c r="P255" s="28"/>
      <c r="Q255" s="29"/>
      <c r="R255" s="28"/>
      <c r="S255" s="31"/>
      <c r="U255" s="41" t="s">
        <v>84</v>
      </c>
      <c r="V255" s="42"/>
      <c r="W255" s="42"/>
      <c r="Y255" s="43" t="s">
        <v>104</v>
      </c>
    </row>
    <row r="256" ht="15.6" customHeight="1" s="4" customFormat="1">
      <c r="A256" s="67"/>
      <c r="B256" s="27"/>
      <c r="C256" s="28"/>
      <c r="D256" s="29"/>
      <c r="E256" s="29"/>
      <c r="F256" s="30"/>
      <c r="G256" s="28"/>
      <c r="H256" s="29"/>
      <c r="I256" s="28"/>
      <c r="J256" s="31"/>
      <c r="K256" s="27"/>
      <c r="L256" s="28"/>
      <c r="M256" s="29"/>
      <c r="N256" s="29"/>
      <c r="O256" s="28"/>
      <c r="P256" s="28"/>
      <c r="Q256" s="29"/>
      <c r="R256" s="28"/>
      <c r="S256" s="31"/>
      <c r="U256" s="41" t="s">
        <v>84</v>
      </c>
      <c r="V256" s="42"/>
      <c r="W256" s="42"/>
      <c r="Y256" s="43" t="s">
        <v>104</v>
      </c>
    </row>
    <row r="257" ht="15.6" customHeight="1" s="4" customFormat="1">
      <c r="A257" s="67"/>
      <c r="B257" s="27"/>
      <c r="C257" s="28"/>
      <c r="D257" s="29"/>
      <c r="E257" s="29"/>
      <c r="F257" s="30"/>
      <c r="G257" s="28"/>
      <c r="H257" s="29"/>
      <c r="I257" s="28"/>
      <c r="J257" s="31"/>
      <c r="K257" s="27"/>
      <c r="L257" s="28"/>
      <c r="M257" s="29"/>
      <c r="N257" s="29"/>
      <c r="O257" s="28"/>
      <c r="P257" s="28"/>
      <c r="Q257" s="29"/>
      <c r="R257" s="28"/>
      <c r="S257" s="31"/>
      <c r="U257" s="41" t="s">
        <v>84</v>
      </c>
      <c r="V257" s="42"/>
      <c r="W257" s="42"/>
      <c r="Y257" s="43" t="s">
        <v>104</v>
      </c>
    </row>
    <row r="258" ht="15.6" customHeight="1" s="4" customFormat="1">
      <c r="A258" s="67"/>
      <c r="B258" s="27"/>
      <c r="C258" s="28"/>
      <c r="D258" s="29"/>
      <c r="E258" s="29"/>
      <c r="F258" s="30"/>
      <c r="G258" s="28"/>
      <c r="H258" s="29"/>
      <c r="I258" s="28"/>
      <c r="J258" s="31"/>
      <c r="K258" s="27"/>
      <c r="L258" s="28"/>
      <c r="M258" s="29"/>
      <c r="N258" s="29"/>
      <c r="O258" s="28"/>
      <c r="P258" s="28"/>
      <c r="Q258" s="29"/>
      <c r="R258" s="28"/>
      <c r="S258" s="31"/>
      <c r="U258" s="41" t="s">
        <v>84</v>
      </c>
      <c r="V258" s="42"/>
      <c r="W258" s="42"/>
      <c r="Y258" s="43" t="s">
        <v>104</v>
      </c>
    </row>
    <row r="259" ht="15.6" customHeight="1" s="4" customFormat="1">
      <c r="A259" s="67"/>
      <c r="B259" s="27"/>
      <c r="C259" s="28"/>
      <c r="D259" s="29"/>
      <c r="E259" s="29"/>
      <c r="F259" s="30"/>
      <c r="G259" s="28"/>
      <c r="H259" s="29"/>
      <c r="I259" s="28"/>
      <c r="J259" s="31"/>
      <c r="K259" s="27"/>
      <c r="L259" s="28"/>
      <c r="M259" s="29"/>
      <c r="N259" s="29"/>
      <c r="O259" s="28"/>
      <c r="P259" s="28"/>
      <c r="Q259" s="29"/>
      <c r="R259" s="28"/>
      <c r="S259" s="31"/>
      <c r="U259" s="41" t="s">
        <v>84</v>
      </c>
      <c r="V259" s="42"/>
      <c r="W259" s="42"/>
      <c r="Y259" s="43" t="s">
        <v>104</v>
      </c>
    </row>
    <row r="260" ht="15.6" customHeight="1" s="4" customFormat="1">
      <c r="A260" s="67"/>
      <c r="B260" s="27"/>
      <c r="C260" s="28"/>
      <c r="D260" s="29"/>
      <c r="E260" s="29"/>
      <c r="F260" s="30"/>
      <c r="G260" s="28"/>
      <c r="H260" s="29"/>
      <c r="I260" s="28"/>
      <c r="J260" s="31"/>
      <c r="K260" s="27"/>
      <c r="L260" s="28"/>
      <c r="M260" s="29"/>
      <c r="N260" s="29"/>
      <c r="O260" s="28"/>
      <c r="P260" s="28"/>
      <c r="Q260" s="29"/>
      <c r="R260" s="28"/>
      <c r="S260" s="31"/>
      <c r="U260" s="41" t="s">
        <v>84</v>
      </c>
      <c r="V260" s="42"/>
      <c r="W260" s="42"/>
      <c r="Y260" s="43" t="s">
        <v>104</v>
      </c>
    </row>
    <row r="261" ht="15.6" customHeight="1" s="4" customFormat="1">
      <c r="A261" s="67"/>
      <c r="B261" s="27"/>
      <c r="C261" s="28"/>
      <c r="D261" s="29"/>
      <c r="E261" s="29"/>
      <c r="F261" s="30"/>
      <c r="G261" s="28"/>
      <c r="H261" s="29"/>
      <c r="I261" s="28"/>
      <c r="J261" s="31"/>
      <c r="K261" s="27"/>
      <c r="L261" s="28"/>
      <c r="M261" s="29"/>
      <c r="N261" s="29"/>
      <c r="O261" s="28"/>
      <c r="P261" s="28"/>
      <c r="Q261" s="29"/>
      <c r="R261" s="28"/>
      <c r="S261" s="31"/>
      <c r="U261" s="41" t="s">
        <v>84</v>
      </c>
      <c r="V261" s="42"/>
      <c r="W261" s="42"/>
      <c r="Y261" s="43" t="s">
        <v>104</v>
      </c>
    </row>
    <row r="262" ht="15.6" customHeight="1" s="4" customFormat="1">
      <c r="A262" s="67"/>
      <c r="B262" s="27"/>
      <c r="C262" s="28"/>
      <c r="D262" s="29"/>
      <c r="E262" s="29"/>
      <c r="F262" s="30"/>
      <c r="G262" s="28"/>
      <c r="H262" s="29"/>
      <c r="I262" s="28"/>
      <c r="J262" s="31"/>
      <c r="K262" s="27"/>
      <c r="L262" s="28"/>
      <c r="M262" s="29"/>
      <c r="N262" s="29"/>
      <c r="O262" s="28"/>
      <c r="P262" s="28"/>
      <c r="Q262" s="29"/>
      <c r="R262" s="28"/>
      <c r="S262" s="31"/>
      <c r="U262" s="41" t="s">
        <v>84</v>
      </c>
      <c r="V262" s="42"/>
      <c r="W262" s="42"/>
      <c r="Y262" s="43" t="s">
        <v>104</v>
      </c>
    </row>
    <row r="263" ht="15.6" customHeight="1" s="4" customFormat="1">
      <c r="A263" s="67"/>
      <c r="B263" s="27"/>
      <c r="C263" s="28"/>
      <c r="D263" s="29"/>
      <c r="E263" s="29"/>
      <c r="F263" s="30"/>
      <c r="G263" s="28"/>
      <c r="H263" s="29"/>
      <c r="I263" s="28"/>
      <c r="J263" s="31"/>
      <c r="K263" s="27"/>
      <c r="L263" s="28"/>
      <c r="M263" s="29"/>
      <c r="N263" s="29"/>
      <c r="O263" s="28"/>
      <c r="P263" s="28"/>
      <c r="Q263" s="29"/>
      <c r="R263" s="28"/>
      <c r="S263" s="31"/>
      <c r="U263" s="41" t="s">
        <v>84</v>
      </c>
      <c r="V263" s="42"/>
      <c r="W263" s="42"/>
      <c r="Y263" s="43" t="s">
        <v>104</v>
      </c>
    </row>
    <row r="264" ht="15.6" customHeight="1" s="4" customFormat="1">
      <c r="A264" s="67"/>
      <c r="B264" s="27"/>
      <c r="C264" s="28"/>
      <c r="D264" s="29"/>
      <c r="E264" s="29"/>
      <c r="F264" s="30"/>
      <c r="G264" s="28"/>
      <c r="H264" s="29"/>
      <c r="I264" s="28"/>
      <c r="J264" s="31"/>
      <c r="K264" s="27"/>
      <c r="L264" s="28"/>
      <c r="M264" s="29"/>
      <c r="N264" s="29"/>
      <c r="O264" s="28"/>
      <c r="P264" s="28"/>
      <c r="Q264" s="29"/>
      <c r="R264" s="28"/>
      <c r="S264" s="31"/>
      <c r="U264" s="41" t="s">
        <v>84</v>
      </c>
      <c r="V264" s="42"/>
      <c r="W264" s="42"/>
      <c r="Y264" s="43" t="s">
        <v>104</v>
      </c>
    </row>
    <row r="265" ht="15.6" customHeight="1" s="4" customFormat="1">
      <c r="A265" s="67"/>
      <c r="B265" s="27"/>
      <c r="C265" s="28"/>
      <c r="D265" s="29"/>
      <c r="E265" s="29"/>
      <c r="F265" s="30"/>
      <c r="G265" s="28"/>
      <c r="H265" s="29"/>
      <c r="I265" s="28"/>
      <c r="J265" s="31"/>
      <c r="K265" s="27"/>
      <c r="L265" s="28"/>
      <c r="M265" s="29"/>
      <c r="N265" s="29"/>
      <c r="O265" s="28"/>
      <c r="P265" s="28"/>
      <c r="Q265" s="29"/>
      <c r="R265" s="28"/>
      <c r="S265" s="31"/>
      <c r="U265" s="41" t="s">
        <v>84</v>
      </c>
      <c r="V265" s="42"/>
      <c r="W265" s="42"/>
      <c r="Y265" s="43" t="s">
        <v>104</v>
      </c>
    </row>
    <row r="266" ht="15.6" customHeight="1" s="4" customFormat="1">
      <c r="A266" s="67"/>
      <c r="B266" s="27"/>
      <c r="C266" s="28"/>
      <c r="D266" s="29"/>
      <c r="E266" s="29"/>
      <c r="F266" s="30"/>
      <c r="G266" s="28"/>
      <c r="H266" s="29"/>
      <c r="I266" s="28"/>
      <c r="J266" s="31"/>
      <c r="K266" s="27"/>
      <c r="L266" s="28"/>
      <c r="M266" s="29"/>
      <c r="N266" s="29"/>
      <c r="O266" s="28"/>
      <c r="P266" s="28"/>
      <c r="Q266" s="29"/>
      <c r="R266" s="28"/>
      <c r="S266" s="31"/>
      <c r="U266" s="41" t="s">
        <v>84</v>
      </c>
      <c r="V266" s="42"/>
      <c r="W266" s="42"/>
      <c r="Y266" s="43" t="s">
        <v>104</v>
      </c>
    </row>
    <row r="267" ht="15.6" customHeight="1" s="4" customFormat="1">
      <c r="A267" s="67"/>
      <c r="B267" s="27"/>
      <c r="C267" s="28"/>
      <c r="D267" s="29"/>
      <c r="E267" s="29"/>
      <c r="F267" s="30"/>
      <c r="G267" s="28"/>
      <c r="H267" s="29"/>
      <c r="I267" s="28"/>
      <c r="J267" s="31"/>
      <c r="K267" s="27"/>
      <c r="L267" s="28"/>
      <c r="M267" s="29"/>
      <c r="N267" s="29"/>
      <c r="O267" s="28"/>
      <c r="P267" s="28"/>
      <c r="Q267" s="29"/>
      <c r="R267" s="28"/>
      <c r="S267" s="31"/>
      <c r="U267" s="41" t="s">
        <v>84</v>
      </c>
      <c r="V267" s="42"/>
      <c r="W267" s="42"/>
      <c r="Y267" s="43" t="s">
        <v>104</v>
      </c>
    </row>
    <row r="268" ht="15.6" customHeight="1" s="4" customFormat="1">
      <c r="A268" s="67"/>
      <c r="B268" s="27"/>
      <c r="C268" s="28"/>
      <c r="D268" s="29"/>
      <c r="E268" s="29"/>
      <c r="F268" s="30"/>
      <c r="G268" s="28"/>
      <c r="H268" s="29"/>
      <c r="I268" s="28"/>
      <c r="J268" s="31"/>
      <c r="K268" s="27"/>
      <c r="L268" s="28"/>
      <c r="M268" s="29"/>
      <c r="N268" s="29"/>
      <c r="O268" s="28"/>
      <c r="P268" s="28"/>
      <c r="Q268" s="29"/>
      <c r="R268" s="28"/>
      <c r="S268" s="31"/>
      <c r="U268" s="41" t="s">
        <v>84</v>
      </c>
      <c r="V268" s="42"/>
      <c r="W268" s="42"/>
      <c r="Y268" s="43" t="s">
        <v>104</v>
      </c>
    </row>
    <row r="269" ht="15.6" customHeight="1" s="4" customFormat="1">
      <c r="A269" s="67"/>
      <c r="B269" s="27"/>
      <c r="C269" s="28"/>
      <c r="D269" s="29"/>
      <c r="E269" s="29"/>
      <c r="F269" s="30"/>
      <c r="G269" s="28"/>
      <c r="H269" s="29"/>
      <c r="I269" s="28"/>
      <c r="J269" s="31"/>
      <c r="K269" s="27"/>
      <c r="L269" s="28"/>
      <c r="M269" s="29"/>
      <c r="N269" s="29"/>
      <c r="O269" s="28"/>
      <c r="P269" s="28"/>
      <c r="Q269" s="29"/>
      <c r="R269" s="28"/>
      <c r="S269" s="31"/>
      <c r="U269" s="41" t="s">
        <v>84</v>
      </c>
      <c r="V269" s="42"/>
      <c r="W269" s="42"/>
      <c r="Y269" s="43" t="s">
        <v>104</v>
      </c>
    </row>
    <row r="270" ht="15.6" customHeight="1" s="4" customFormat="1">
      <c r="A270" s="67"/>
      <c r="B270" s="27"/>
      <c r="C270" s="28"/>
      <c r="D270" s="29"/>
      <c r="E270" s="29"/>
      <c r="F270" s="30"/>
      <c r="G270" s="28"/>
      <c r="H270" s="29"/>
      <c r="I270" s="28"/>
      <c r="J270" s="31"/>
      <c r="K270" s="27"/>
      <c r="L270" s="28"/>
      <c r="M270" s="29"/>
      <c r="N270" s="29"/>
      <c r="O270" s="28"/>
      <c r="P270" s="28"/>
      <c r="Q270" s="29"/>
      <c r="R270" s="28"/>
      <c r="S270" s="31"/>
      <c r="U270" s="41" t="s">
        <v>84</v>
      </c>
      <c r="V270" s="42"/>
      <c r="W270" s="42"/>
      <c r="Y270" s="43" t="s">
        <v>104</v>
      </c>
    </row>
    <row r="271" ht="15.6" customHeight="1" s="4" customFormat="1">
      <c r="A271" s="67"/>
      <c r="B271" s="27"/>
      <c r="C271" s="28"/>
      <c r="D271" s="29"/>
      <c r="E271" s="29"/>
      <c r="F271" s="30"/>
      <c r="G271" s="28"/>
      <c r="H271" s="29"/>
      <c r="I271" s="28"/>
      <c r="J271" s="31"/>
      <c r="K271" s="27"/>
      <c r="L271" s="28"/>
      <c r="M271" s="29"/>
      <c r="N271" s="29"/>
      <c r="O271" s="28"/>
      <c r="P271" s="28"/>
      <c r="Q271" s="29"/>
      <c r="R271" s="28"/>
      <c r="S271" s="31"/>
      <c r="U271" s="41" t="s">
        <v>84</v>
      </c>
      <c r="V271" s="42"/>
      <c r="W271" s="42"/>
      <c r="Y271" s="43" t="s">
        <v>104</v>
      </c>
    </row>
    <row r="272" ht="15.6" customHeight="1" s="4" customFormat="1">
      <c r="A272" s="67"/>
      <c r="B272" s="27"/>
      <c r="C272" s="28"/>
      <c r="D272" s="29"/>
      <c r="E272" s="29"/>
      <c r="F272" s="30"/>
      <c r="G272" s="28"/>
      <c r="H272" s="29"/>
      <c r="I272" s="28"/>
      <c r="J272" s="31"/>
      <c r="K272" s="27"/>
      <c r="L272" s="28"/>
      <c r="M272" s="29"/>
      <c r="N272" s="29"/>
      <c r="O272" s="28"/>
      <c r="P272" s="28"/>
      <c r="Q272" s="29"/>
      <c r="R272" s="28"/>
      <c r="S272" s="31"/>
      <c r="U272" s="41" t="s">
        <v>84</v>
      </c>
      <c r="V272" s="42"/>
      <c r="W272" s="42"/>
      <c r="Y272" s="43" t="s">
        <v>104</v>
      </c>
    </row>
    <row r="273" ht="15.6" customHeight="1" s="4" customFormat="1">
      <c r="A273" s="67"/>
      <c r="B273" s="27"/>
      <c r="C273" s="28"/>
      <c r="D273" s="29"/>
      <c r="E273" s="29"/>
      <c r="F273" s="30"/>
      <c r="G273" s="28"/>
      <c r="H273" s="29"/>
      <c r="I273" s="28"/>
      <c r="J273" s="31"/>
      <c r="K273" s="27"/>
      <c r="L273" s="28"/>
      <c r="M273" s="29"/>
      <c r="N273" s="29"/>
      <c r="O273" s="28"/>
      <c r="P273" s="28"/>
      <c r="Q273" s="29"/>
      <c r="R273" s="28"/>
      <c r="S273" s="31"/>
      <c r="U273" s="41" t="s">
        <v>84</v>
      </c>
      <c r="V273" s="42"/>
      <c r="W273" s="42"/>
      <c r="Y273" s="43" t="s">
        <v>104</v>
      </c>
    </row>
    <row r="274" ht="15.6" customHeight="1" s="4" customFormat="1">
      <c r="A274" s="67"/>
      <c r="B274" s="27"/>
      <c r="C274" s="28"/>
      <c r="D274" s="29"/>
      <c r="E274" s="29"/>
      <c r="F274" s="30"/>
      <c r="G274" s="28"/>
      <c r="H274" s="29"/>
      <c r="I274" s="28"/>
      <c r="J274" s="31"/>
      <c r="K274" s="27"/>
      <c r="L274" s="28"/>
      <c r="M274" s="29"/>
      <c r="N274" s="29"/>
      <c r="O274" s="28"/>
      <c r="P274" s="28"/>
      <c r="Q274" s="29"/>
      <c r="R274" s="28"/>
      <c r="S274" s="31"/>
      <c r="U274" s="41" t="s">
        <v>84</v>
      </c>
      <c r="V274" s="42"/>
      <c r="W274" s="42"/>
      <c r="Y274" s="43" t="s">
        <v>104</v>
      </c>
    </row>
    <row r="275" ht="15.6" customHeight="1" s="4" customFormat="1">
      <c r="A275" s="67"/>
      <c r="B275" s="27"/>
      <c r="C275" s="28"/>
      <c r="D275" s="29"/>
      <c r="E275" s="29"/>
      <c r="F275" s="30"/>
      <c r="G275" s="28"/>
      <c r="H275" s="29"/>
      <c r="I275" s="28"/>
      <c r="J275" s="31"/>
      <c r="K275" s="27"/>
      <c r="L275" s="28"/>
      <c r="M275" s="29"/>
      <c r="N275" s="29"/>
      <c r="O275" s="28"/>
      <c r="P275" s="28"/>
      <c r="Q275" s="29"/>
      <c r="R275" s="28"/>
      <c r="S275" s="31"/>
      <c r="U275" s="41" t="s">
        <v>84</v>
      </c>
      <c r="V275" s="42"/>
      <c r="W275" s="42"/>
      <c r="Y275" s="43" t="s">
        <v>104</v>
      </c>
    </row>
    <row r="276" ht="15" customHeight="1" s="4" customFormat="1">
      <c r="A276" s="67"/>
      <c r="B276" s="27"/>
      <c r="C276" s="28"/>
      <c r="D276" s="29"/>
      <c r="E276" s="29"/>
      <c r="F276" s="30"/>
      <c r="G276" s="28"/>
      <c r="H276" s="29"/>
      <c r="I276" s="28"/>
      <c r="J276" s="31"/>
      <c r="K276" s="27"/>
      <c r="L276" s="28"/>
      <c r="M276" s="29"/>
      <c r="N276" s="29"/>
      <c r="O276" s="28"/>
      <c r="P276" s="28"/>
      <c r="Q276" s="29"/>
      <c r="R276" s="28"/>
      <c r="S276" s="31"/>
    </row>
    <row r="277" ht="15.6" customHeight="1" s="4" customFormat="1">
      <c r="A277" s="67"/>
      <c r="B277" s="27"/>
      <c r="C277" s="28"/>
      <c r="D277" s="29"/>
      <c r="E277" s="29"/>
      <c r="F277" s="30"/>
      <c r="G277" s="28"/>
      <c r="H277" s="29"/>
      <c r="I277" s="28"/>
      <c r="J277" s="31"/>
      <c r="K277" s="27"/>
      <c r="L277" s="28"/>
      <c r="M277" s="29"/>
      <c r="N277" s="29"/>
      <c r="O277" s="28"/>
      <c r="P277" s="28"/>
      <c r="Q277" s="29"/>
      <c r="R277" s="28"/>
      <c r="S277" s="31"/>
      <c r="U277" s="41" t="s">
        <v>84</v>
      </c>
      <c r="V277" s="42"/>
      <c r="W277" s="42"/>
      <c r="Y277" s="43" t="s">
        <v>104</v>
      </c>
    </row>
    <row r="278" ht="15.6" customHeight="1" s="4" customFormat="1">
      <c r="A278" s="67"/>
      <c r="B278" s="27"/>
      <c r="C278" s="28"/>
      <c r="D278" s="29"/>
      <c r="E278" s="29"/>
      <c r="F278" s="30"/>
      <c r="G278" s="28"/>
      <c r="H278" s="29"/>
      <c r="I278" s="28"/>
      <c r="J278" s="31"/>
      <c r="K278" s="27"/>
      <c r="L278" s="28"/>
      <c r="M278" s="29"/>
      <c r="N278" s="29"/>
      <c r="O278" s="28"/>
      <c r="P278" s="28"/>
      <c r="Q278" s="29"/>
      <c r="R278" s="28"/>
      <c r="S278" s="31"/>
      <c r="U278" s="41" t="s">
        <v>84</v>
      </c>
      <c r="V278" s="42"/>
      <c r="W278" s="42"/>
      <c r="Y278" s="43" t="s">
        <v>104</v>
      </c>
    </row>
    <row r="279" ht="15.6" customHeight="1" s="4" customFormat="1">
      <c r="A279" s="67"/>
      <c r="B279" s="27"/>
      <c r="C279" s="28"/>
      <c r="D279" s="29"/>
      <c r="E279" s="29"/>
      <c r="F279" s="30"/>
      <c r="G279" s="28"/>
      <c r="H279" s="29"/>
      <c r="I279" s="28"/>
      <c r="J279" s="31"/>
      <c r="K279" s="27"/>
      <c r="L279" s="28"/>
      <c r="M279" s="29"/>
      <c r="N279" s="29"/>
      <c r="O279" s="28"/>
      <c r="P279" s="28"/>
      <c r="Q279" s="29"/>
      <c r="R279" s="28"/>
      <c r="S279" s="31"/>
      <c r="U279" s="41" t="s">
        <v>84</v>
      </c>
      <c r="V279" s="42"/>
      <c r="W279" s="42"/>
      <c r="Y279" s="43" t="s">
        <v>104</v>
      </c>
    </row>
    <row r="280" ht="15.6" customHeight="1" s="4" customFormat="1">
      <c r="A280" s="67"/>
      <c r="B280" s="27"/>
      <c r="C280" s="28"/>
      <c r="D280" s="29"/>
      <c r="E280" s="29"/>
      <c r="F280" s="30"/>
      <c r="G280" s="28"/>
      <c r="H280" s="29"/>
      <c r="I280" s="28"/>
      <c r="J280" s="31"/>
      <c r="K280" s="27"/>
      <c r="L280" s="28"/>
      <c r="M280" s="29"/>
      <c r="N280" s="29"/>
      <c r="O280" s="28"/>
      <c r="P280" s="28"/>
      <c r="Q280" s="29"/>
      <c r="R280" s="28"/>
      <c r="S280" s="31"/>
      <c r="U280" s="41" t="s">
        <v>84</v>
      </c>
      <c r="V280" s="42"/>
      <c r="W280" s="42"/>
      <c r="Y280" s="43" t="s">
        <v>104</v>
      </c>
    </row>
    <row r="281" ht="15.6" customHeight="1" s="4" customFormat="1">
      <c r="A281" s="67"/>
      <c r="B281" s="27"/>
      <c r="C281" s="28"/>
      <c r="D281" s="29"/>
      <c r="E281" s="29"/>
      <c r="F281" s="30"/>
      <c r="G281" s="28"/>
      <c r="H281" s="29"/>
      <c r="I281" s="28"/>
      <c r="J281" s="31"/>
      <c r="K281" s="27"/>
      <c r="L281" s="28"/>
      <c r="M281" s="29"/>
      <c r="N281" s="29"/>
      <c r="O281" s="28"/>
      <c r="P281" s="28"/>
      <c r="Q281" s="29"/>
      <c r="R281" s="28"/>
      <c r="S281" s="31"/>
      <c r="U281" s="41" t="s">
        <v>84</v>
      </c>
      <c r="V281" s="42"/>
      <c r="W281" s="42"/>
      <c r="Y281" s="43" t="s">
        <v>104</v>
      </c>
    </row>
    <row r="282" ht="15.6" customHeight="1" s="4" customFormat="1">
      <c r="A282" s="67"/>
      <c r="B282" s="27"/>
      <c r="C282" s="28"/>
      <c r="D282" s="29"/>
      <c r="E282" s="29"/>
      <c r="F282" s="30"/>
      <c r="G282" s="28"/>
      <c r="H282" s="29"/>
      <c r="I282" s="28"/>
      <c r="J282" s="31"/>
      <c r="K282" s="27"/>
      <c r="L282" s="28"/>
      <c r="M282" s="29"/>
      <c r="N282" s="29"/>
      <c r="O282" s="28"/>
      <c r="P282" s="28"/>
      <c r="Q282" s="29"/>
      <c r="R282" s="28"/>
      <c r="S282" s="31"/>
      <c r="U282" s="41" t="s">
        <v>84</v>
      </c>
      <c r="V282" s="42"/>
      <c r="W282" s="42"/>
      <c r="Y282" s="43" t="s">
        <v>104</v>
      </c>
    </row>
    <row r="283" ht="15.6" customHeight="1" s="4" customFormat="1">
      <c r="A283" s="67"/>
      <c r="B283" s="27"/>
      <c r="C283" s="28"/>
      <c r="D283" s="29"/>
      <c r="E283" s="29"/>
      <c r="F283" s="30"/>
      <c r="G283" s="28"/>
      <c r="H283" s="29"/>
      <c r="I283" s="28"/>
      <c r="J283" s="31"/>
      <c r="K283" s="27"/>
      <c r="L283" s="28"/>
      <c r="M283" s="29"/>
      <c r="N283" s="29"/>
      <c r="O283" s="28"/>
      <c r="P283" s="28"/>
      <c r="Q283" s="29"/>
      <c r="R283" s="28"/>
      <c r="S283" s="31"/>
      <c r="U283" s="41" t="s">
        <v>84</v>
      </c>
      <c r="V283" s="42"/>
      <c r="W283" s="42"/>
      <c r="Y283" s="43" t="s">
        <v>104</v>
      </c>
    </row>
    <row r="284" ht="15.6" customHeight="1" s="4" customFormat="1">
      <c r="A284" s="67"/>
      <c r="B284" s="27"/>
      <c r="C284" s="28"/>
      <c r="D284" s="29"/>
      <c r="E284" s="29"/>
      <c r="F284" s="30"/>
      <c r="G284" s="28"/>
      <c r="H284" s="29"/>
      <c r="I284" s="28"/>
      <c r="J284" s="31"/>
      <c r="K284" s="27"/>
      <c r="L284" s="28"/>
      <c r="M284" s="29"/>
      <c r="N284" s="29"/>
      <c r="O284" s="28"/>
      <c r="P284" s="28"/>
      <c r="Q284" s="29"/>
      <c r="R284" s="28"/>
      <c r="S284" s="31"/>
      <c r="U284" s="41" t="s">
        <v>84</v>
      </c>
      <c r="V284" s="42"/>
      <c r="W284" s="42"/>
      <c r="Y284" s="43" t="s">
        <v>104</v>
      </c>
    </row>
    <row r="285" ht="15.6" customHeight="1" s="4" customFormat="1">
      <c r="A285" s="67"/>
      <c r="B285" s="27"/>
      <c r="C285" s="28"/>
      <c r="D285" s="29"/>
      <c r="E285" s="29"/>
      <c r="F285" s="30"/>
      <c r="G285" s="28"/>
      <c r="H285" s="29"/>
      <c r="I285" s="28"/>
      <c r="J285" s="31"/>
      <c r="K285" s="27"/>
      <c r="L285" s="28"/>
      <c r="M285" s="29"/>
      <c r="N285" s="29"/>
      <c r="O285" s="28"/>
      <c r="P285" s="28"/>
      <c r="Q285" s="29"/>
      <c r="R285" s="28"/>
      <c r="S285" s="31"/>
      <c r="U285" s="41" t="s">
        <v>84</v>
      </c>
      <c r="V285" s="42"/>
      <c r="W285" s="42"/>
      <c r="Y285" s="43" t="s">
        <v>104</v>
      </c>
    </row>
    <row r="286" ht="15.6" customHeight="1" s="4" customFormat="1">
      <c r="A286" s="67"/>
      <c r="B286" s="27"/>
      <c r="C286" s="28"/>
      <c r="D286" s="29"/>
      <c r="E286" s="29"/>
      <c r="F286" s="30"/>
      <c r="G286" s="28"/>
      <c r="H286" s="29"/>
      <c r="I286" s="28"/>
      <c r="J286" s="31"/>
      <c r="K286" s="27"/>
      <c r="L286" s="28"/>
      <c r="M286" s="29"/>
      <c r="N286" s="29"/>
      <c r="O286" s="28"/>
      <c r="P286" s="28"/>
      <c r="Q286" s="29"/>
      <c r="R286" s="28"/>
      <c r="S286" s="31"/>
      <c r="U286" s="41" t="s">
        <v>84</v>
      </c>
      <c r="V286" s="42"/>
      <c r="W286" s="42"/>
      <c r="Y286" s="43" t="s">
        <v>104</v>
      </c>
    </row>
    <row r="287" ht="15.6" customHeight="1" s="4" customFormat="1">
      <c r="A287" s="67"/>
      <c r="B287" s="27"/>
      <c r="C287" s="28"/>
      <c r="D287" s="29"/>
      <c r="E287" s="29"/>
      <c r="F287" s="30"/>
      <c r="G287" s="28"/>
      <c r="H287" s="29"/>
      <c r="I287" s="28"/>
      <c r="J287" s="31"/>
      <c r="K287" s="27"/>
      <c r="L287" s="28"/>
      <c r="M287" s="29"/>
      <c r="N287" s="29"/>
      <c r="O287" s="28"/>
      <c r="P287" s="28"/>
      <c r="Q287" s="29"/>
      <c r="R287" s="28"/>
      <c r="S287" s="31"/>
      <c r="U287" s="41" t="s">
        <v>84</v>
      </c>
      <c r="V287" s="42"/>
      <c r="W287" s="42"/>
      <c r="Y287" s="43" t="s">
        <v>104</v>
      </c>
    </row>
    <row r="288" ht="15.6" customHeight="1" s="4" customFormat="1">
      <c r="A288" s="67"/>
      <c r="B288" s="27"/>
      <c r="C288" s="28"/>
      <c r="D288" s="29"/>
      <c r="E288" s="29"/>
      <c r="F288" s="30"/>
      <c r="G288" s="28"/>
      <c r="H288" s="29"/>
      <c r="I288" s="28"/>
      <c r="J288" s="31"/>
      <c r="K288" s="27"/>
      <c r="L288" s="28"/>
      <c r="M288" s="29"/>
      <c r="N288" s="29"/>
      <c r="O288" s="28"/>
      <c r="P288" s="28"/>
      <c r="Q288" s="29"/>
      <c r="R288" s="28"/>
      <c r="S288" s="31"/>
      <c r="U288" s="41" t="s">
        <v>84</v>
      </c>
      <c r="V288" s="42"/>
      <c r="W288" s="42"/>
      <c r="Y288" s="43" t="s">
        <v>104</v>
      </c>
    </row>
    <row r="289" ht="15.6" customHeight="1" s="4" customFormat="1">
      <c r="A289" s="67"/>
      <c r="B289" s="27"/>
      <c r="C289" s="28"/>
      <c r="D289" s="29"/>
      <c r="E289" s="29"/>
      <c r="F289" s="30"/>
      <c r="G289" s="28"/>
      <c r="H289" s="29"/>
      <c r="I289" s="28"/>
      <c r="J289" s="31"/>
      <c r="K289" s="27"/>
      <c r="L289" s="28"/>
      <c r="M289" s="29"/>
      <c r="N289" s="29"/>
      <c r="O289" s="28"/>
      <c r="P289" s="28"/>
      <c r="Q289" s="29"/>
      <c r="R289" s="28"/>
      <c r="S289" s="31"/>
      <c r="U289" s="41" t="s">
        <v>84</v>
      </c>
      <c r="V289" s="42"/>
      <c r="W289" s="42"/>
      <c r="Y289" s="43" t="s">
        <v>104</v>
      </c>
    </row>
    <row r="290" ht="15.6" customHeight="1" s="4" customFormat="1">
      <c r="A290" s="67"/>
      <c r="B290" s="27"/>
      <c r="C290" s="28"/>
      <c r="D290" s="29"/>
      <c r="E290" s="29"/>
      <c r="F290" s="30"/>
      <c r="G290" s="28"/>
      <c r="H290" s="29"/>
      <c r="I290" s="28"/>
      <c r="J290" s="31"/>
      <c r="K290" s="27"/>
      <c r="L290" s="28"/>
      <c r="M290" s="29"/>
      <c r="N290" s="29"/>
      <c r="O290" s="28"/>
      <c r="P290" s="28"/>
      <c r="Q290" s="29"/>
      <c r="R290" s="28"/>
      <c r="S290" s="31"/>
      <c r="U290" s="41" t="s">
        <v>84</v>
      </c>
      <c r="V290" s="42"/>
      <c r="W290" s="42"/>
      <c r="Y290" s="43" t="s">
        <v>104</v>
      </c>
    </row>
    <row r="291" ht="15.6" customHeight="1" s="4" customFormat="1">
      <c r="A291" s="67"/>
      <c r="B291" s="27"/>
      <c r="C291" s="28"/>
      <c r="D291" s="29"/>
      <c r="E291" s="29"/>
      <c r="F291" s="30"/>
      <c r="G291" s="28"/>
      <c r="H291" s="29"/>
      <c r="I291" s="28"/>
      <c r="J291" s="31"/>
      <c r="K291" s="27"/>
      <c r="L291" s="28"/>
      <c r="M291" s="29"/>
      <c r="N291" s="29"/>
      <c r="O291" s="28"/>
      <c r="P291" s="28"/>
      <c r="Q291" s="29"/>
      <c r="R291" s="28"/>
      <c r="S291" s="31"/>
      <c r="U291" s="41" t="s">
        <v>84</v>
      </c>
      <c r="V291" s="42"/>
      <c r="W291" s="42"/>
      <c r="Y291" s="43" t="s">
        <v>104</v>
      </c>
    </row>
    <row r="292" ht="15.6" customHeight="1" s="4" customFormat="1">
      <c r="A292" s="67"/>
      <c r="B292" s="27"/>
      <c r="C292" s="28"/>
      <c r="D292" s="29"/>
      <c r="E292" s="29"/>
      <c r="F292" s="30"/>
      <c r="G292" s="28"/>
      <c r="H292" s="29"/>
      <c r="I292" s="28"/>
      <c r="J292" s="31"/>
      <c r="K292" s="27"/>
      <c r="L292" s="28"/>
      <c r="M292" s="29"/>
      <c r="N292" s="29"/>
      <c r="O292" s="28"/>
      <c r="P292" s="28"/>
      <c r="Q292" s="29"/>
      <c r="R292" s="28"/>
      <c r="S292" s="31"/>
      <c r="U292" s="41" t="s">
        <v>84</v>
      </c>
      <c r="V292" s="42"/>
      <c r="W292" s="42"/>
      <c r="Y292" s="43" t="s">
        <v>104</v>
      </c>
    </row>
    <row r="293" ht="15.6" customHeight="1" s="4" customFormat="1">
      <c r="A293" s="67"/>
      <c r="B293" s="27"/>
      <c r="C293" s="28"/>
      <c r="D293" s="29"/>
      <c r="E293" s="29"/>
      <c r="F293" s="30"/>
      <c r="G293" s="28"/>
      <c r="H293" s="29"/>
      <c r="I293" s="28"/>
      <c r="J293" s="31"/>
      <c r="K293" s="27"/>
      <c r="L293" s="28"/>
      <c r="M293" s="29"/>
      <c r="N293" s="29"/>
      <c r="O293" s="28"/>
      <c r="P293" s="28"/>
      <c r="Q293" s="29"/>
      <c r="R293" s="28"/>
      <c r="S293" s="31"/>
      <c r="U293" s="41" t="s">
        <v>84</v>
      </c>
      <c r="V293" s="42"/>
      <c r="W293" s="42"/>
      <c r="Y293" s="43" t="s">
        <v>104</v>
      </c>
    </row>
    <row r="294" ht="15.6" customHeight="1" s="4" customFormat="1">
      <c r="A294" s="67"/>
      <c r="B294" s="27"/>
      <c r="C294" s="28"/>
      <c r="D294" s="29"/>
      <c r="E294" s="29"/>
      <c r="F294" s="30"/>
      <c r="G294" s="28"/>
      <c r="H294" s="29"/>
      <c r="I294" s="28"/>
      <c r="J294" s="31"/>
      <c r="K294" s="27"/>
      <c r="L294" s="28"/>
      <c r="M294" s="29"/>
      <c r="N294" s="29"/>
      <c r="O294" s="28"/>
      <c r="P294" s="28"/>
      <c r="Q294" s="29"/>
      <c r="R294" s="28"/>
      <c r="S294" s="31"/>
      <c r="U294" s="41" t="s">
        <v>84</v>
      </c>
      <c r="V294" s="42"/>
      <c r="W294" s="42"/>
      <c r="Y294" s="43" t="s">
        <v>104</v>
      </c>
    </row>
    <row r="295" ht="15.6" customHeight="1" s="4" customFormat="1">
      <c r="A295" s="67"/>
      <c r="B295" s="27"/>
      <c r="C295" s="28"/>
      <c r="D295" s="29"/>
      <c r="E295" s="29"/>
      <c r="F295" s="30"/>
      <c r="G295" s="28"/>
      <c r="H295" s="29"/>
      <c r="I295" s="28"/>
      <c r="J295" s="31"/>
      <c r="K295" s="27"/>
      <c r="L295" s="28"/>
      <c r="M295" s="29"/>
      <c r="N295" s="29"/>
      <c r="O295" s="28"/>
      <c r="P295" s="28"/>
      <c r="Q295" s="29"/>
      <c r="R295" s="28"/>
      <c r="S295" s="31"/>
      <c r="U295" s="41" t="s">
        <v>84</v>
      </c>
      <c r="V295" s="42"/>
      <c r="W295" s="42"/>
      <c r="Y295" s="43" t="s">
        <v>104</v>
      </c>
    </row>
    <row r="296" ht="15.6" customHeight="1" s="4" customFormat="1">
      <c r="A296" s="67"/>
      <c r="B296" s="27"/>
      <c r="C296" s="28"/>
      <c r="D296" s="29"/>
      <c r="E296" s="29"/>
      <c r="F296" s="30"/>
      <c r="G296" s="28"/>
      <c r="H296" s="29"/>
      <c r="I296" s="28"/>
      <c r="J296" s="31"/>
      <c r="K296" s="27"/>
      <c r="L296" s="28"/>
      <c r="M296" s="29"/>
      <c r="N296" s="29"/>
      <c r="O296" s="28"/>
      <c r="P296" s="28"/>
      <c r="Q296" s="29"/>
      <c r="R296" s="28"/>
      <c r="S296" s="31"/>
      <c r="U296" s="41" t="s">
        <v>84</v>
      </c>
      <c r="V296" s="42"/>
      <c r="W296" s="42"/>
      <c r="Y296" s="43" t="s">
        <v>104</v>
      </c>
    </row>
    <row r="297" ht="15.6" customHeight="1" s="4" customFormat="1">
      <c r="A297" s="67"/>
      <c r="B297" s="27"/>
      <c r="C297" s="28"/>
      <c r="D297" s="29"/>
      <c r="E297" s="29"/>
      <c r="F297" s="30"/>
      <c r="G297" s="28"/>
      <c r="H297" s="29"/>
      <c r="I297" s="28"/>
      <c r="J297" s="31"/>
      <c r="K297" s="27"/>
      <c r="L297" s="28"/>
      <c r="M297" s="29"/>
      <c r="N297" s="29"/>
      <c r="O297" s="28"/>
      <c r="P297" s="28"/>
      <c r="Q297" s="29"/>
      <c r="R297" s="28"/>
      <c r="S297" s="31"/>
      <c r="U297" s="41" t="s">
        <v>84</v>
      </c>
      <c r="V297" s="42"/>
      <c r="W297" s="42"/>
      <c r="Y297" s="43" t="s">
        <v>104</v>
      </c>
    </row>
    <row r="298" ht="15.6" customHeight="1" s="4" customFormat="1">
      <c r="A298" s="67"/>
      <c r="B298" s="27"/>
      <c r="C298" s="28"/>
      <c r="D298" s="29"/>
      <c r="E298" s="29"/>
      <c r="F298" s="30"/>
      <c r="G298" s="28"/>
      <c r="H298" s="29"/>
      <c r="I298" s="28"/>
      <c r="J298" s="31"/>
      <c r="K298" s="27"/>
      <c r="L298" s="28"/>
      <c r="M298" s="29"/>
      <c r="N298" s="29"/>
      <c r="O298" s="28"/>
      <c r="P298" s="28"/>
      <c r="Q298" s="29"/>
      <c r="R298" s="28"/>
      <c r="S298" s="31"/>
      <c r="U298" s="41" t="s">
        <v>84</v>
      </c>
      <c r="V298" s="42"/>
      <c r="W298" s="42"/>
      <c r="Y298" s="43" t="s">
        <v>104</v>
      </c>
    </row>
    <row r="299" ht="15.6" customHeight="1" s="4" customFormat="1">
      <c r="A299" s="67"/>
      <c r="B299" s="27"/>
      <c r="C299" s="28"/>
      <c r="D299" s="29"/>
      <c r="E299" s="29"/>
      <c r="F299" s="30"/>
      <c r="G299" s="28"/>
      <c r="H299" s="29"/>
      <c r="I299" s="28"/>
      <c r="J299" s="31"/>
      <c r="K299" s="27"/>
      <c r="L299" s="28"/>
      <c r="M299" s="29"/>
      <c r="N299" s="29"/>
      <c r="O299" s="28"/>
      <c r="P299" s="28"/>
      <c r="Q299" s="29"/>
      <c r="R299" s="28"/>
      <c r="S299" s="31"/>
      <c r="U299" s="41" t="s">
        <v>84</v>
      </c>
      <c r="V299" s="42"/>
      <c r="W299" s="42"/>
      <c r="Y299" s="43" t="s">
        <v>104</v>
      </c>
    </row>
    <row r="300" ht="15.6" customHeight="1" s="4" customFormat="1">
      <c r="A300" s="67"/>
      <c r="B300" s="27"/>
      <c r="C300" s="28"/>
      <c r="D300" s="29"/>
      <c r="E300" s="29"/>
      <c r="F300" s="30"/>
      <c r="G300" s="28"/>
      <c r="H300" s="29"/>
      <c r="I300" s="28"/>
      <c r="J300" s="31"/>
      <c r="K300" s="27"/>
      <c r="L300" s="28"/>
      <c r="M300" s="29"/>
      <c r="N300" s="29"/>
      <c r="O300" s="28"/>
      <c r="P300" s="28"/>
      <c r="Q300" s="29"/>
      <c r="R300" s="28"/>
      <c r="S300" s="31"/>
      <c r="U300" s="41" t="s">
        <v>84</v>
      </c>
      <c r="V300" s="42"/>
      <c r="W300" s="42"/>
      <c r="Y300" s="43" t="s">
        <v>104</v>
      </c>
    </row>
    <row r="301" ht="15.6" customHeight="1" s="4" customFormat="1">
      <c r="A301" s="67"/>
      <c r="B301" s="27"/>
      <c r="C301" s="28"/>
      <c r="D301" s="29"/>
      <c r="E301" s="29"/>
      <c r="F301" s="30"/>
      <c r="G301" s="28"/>
      <c r="H301" s="29"/>
      <c r="I301" s="28"/>
      <c r="J301" s="31"/>
      <c r="K301" s="27"/>
      <c r="L301" s="28"/>
      <c r="M301" s="29"/>
      <c r="N301" s="29"/>
      <c r="O301" s="28"/>
      <c r="P301" s="28"/>
      <c r="Q301" s="29"/>
      <c r="R301" s="28"/>
      <c r="S301" s="31"/>
      <c r="U301" s="41" t="s">
        <v>84</v>
      </c>
      <c r="V301" s="42"/>
      <c r="W301" s="42"/>
      <c r="Y301" s="43" t="s">
        <v>104</v>
      </c>
    </row>
    <row r="302" ht="15" customHeight="1" s="4" customFormat="1">
      <c r="A302" s="67"/>
      <c r="B302" s="27"/>
      <c r="C302" s="28"/>
      <c r="D302" s="29"/>
      <c r="E302" s="29"/>
      <c r="F302" s="30"/>
      <c r="G302" s="28"/>
      <c r="H302" s="29"/>
      <c r="I302" s="28"/>
      <c r="J302" s="31"/>
      <c r="K302" s="27"/>
      <c r="L302" s="28"/>
      <c r="M302" s="29"/>
      <c r="N302" s="29"/>
      <c r="O302" s="28"/>
      <c r="P302" s="28"/>
      <c r="Q302" s="29"/>
      <c r="R302" s="28"/>
      <c r="S302" s="31"/>
    </row>
    <row r="303" ht="15.6" customHeight="1" s="4" customFormat="1">
      <c r="A303" s="67"/>
      <c r="B303" s="27"/>
      <c r="C303" s="28"/>
      <c r="D303" s="29"/>
      <c r="E303" s="29"/>
      <c r="F303" s="30"/>
      <c r="G303" s="28"/>
      <c r="H303" s="29"/>
      <c r="I303" s="28"/>
      <c r="J303" s="31"/>
      <c r="K303" s="27"/>
      <c r="L303" s="28"/>
      <c r="M303" s="29"/>
      <c r="N303" s="29"/>
      <c r="O303" s="28"/>
      <c r="P303" s="28"/>
      <c r="Q303" s="29"/>
      <c r="R303" s="28"/>
      <c r="S303" s="31"/>
      <c r="U303" s="41" t="s">
        <v>84</v>
      </c>
      <c r="V303" s="42"/>
      <c r="W303" s="42"/>
      <c r="Y303" s="43" t="s">
        <v>104</v>
      </c>
    </row>
    <row r="304" ht="15.6" customHeight="1" s="4" customFormat="1">
      <c r="A304" s="67"/>
      <c r="B304" s="27"/>
      <c r="C304" s="28"/>
      <c r="D304" s="29"/>
      <c r="E304" s="29"/>
      <c r="F304" s="30"/>
      <c r="G304" s="28"/>
      <c r="H304" s="29"/>
      <c r="I304" s="28"/>
      <c r="J304" s="31"/>
      <c r="K304" s="27"/>
      <c r="L304" s="28"/>
      <c r="M304" s="29"/>
      <c r="N304" s="29"/>
      <c r="O304" s="28"/>
      <c r="P304" s="28"/>
      <c r="Q304" s="29"/>
      <c r="R304" s="28"/>
      <c r="S304" s="31"/>
      <c r="U304" s="41" t="s">
        <v>84</v>
      </c>
      <c r="V304" s="42"/>
      <c r="W304" s="42"/>
      <c r="Y304" s="43" t="s">
        <v>104</v>
      </c>
    </row>
    <row r="305" ht="15.6" customHeight="1" s="4" customFormat="1">
      <c r="A305" s="67"/>
      <c r="B305" s="27"/>
      <c r="C305" s="28"/>
      <c r="D305" s="29"/>
      <c r="E305" s="29"/>
      <c r="F305" s="30"/>
      <c r="G305" s="28"/>
      <c r="H305" s="29"/>
      <c r="I305" s="28"/>
      <c r="J305" s="31"/>
      <c r="K305" s="27"/>
      <c r="L305" s="28"/>
      <c r="M305" s="29"/>
      <c r="N305" s="29"/>
      <c r="O305" s="28"/>
      <c r="P305" s="28"/>
      <c r="Q305" s="29"/>
      <c r="R305" s="28"/>
      <c r="S305" s="31"/>
      <c r="U305" s="41" t="s">
        <v>84</v>
      </c>
      <c r="V305" s="42"/>
      <c r="W305" s="42"/>
      <c r="Y305" s="43" t="s">
        <v>104</v>
      </c>
    </row>
    <row r="306" ht="15.6" customHeight="1" s="4" customFormat="1">
      <c r="A306" s="67"/>
      <c r="B306" s="27"/>
      <c r="C306" s="28"/>
      <c r="D306" s="29"/>
      <c r="E306" s="29"/>
      <c r="F306" s="30"/>
      <c r="G306" s="28"/>
      <c r="H306" s="29"/>
      <c r="I306" s="28"/>
      <c r="J306" s="31"/>
      <c r="K306" s="27"/>
      <c r="L306" s="28"/>
      <c r="M306" s="29"/>
      <c r="N306" s="29"/>
      <c r="O306" s="28"/>
      <c r="P306" s="28"/>
      <c r="Q306" s="29"/>
      <c r="R306" s="28"/>
      <c r="S306" s="31"/>
      <c r="U306" s="41" t="s">
        <v>84</v>
      </c>
      <c r="V306" s="42"/>
      <c r="W306" s="42"/>
      <c r="Y306" s="43" t="s">
        <v>104</v>
      </c>
    </row>
    <row r="307" ht="15.6" customHeight="1" s="4" customFormat="1">
      <c r="A307" s="67"/>
      <c r="B307" s="27"/>
      <c r="C307" s="28"/>
      <c r="D307" s="29"/>
      <c r="E307" s="29"/>
      <c r="F307" s="30"/>
      <c r="G307" s="28"/>
      <c r="H307" s="29"/>
      <c r="I307" s="28"/>
      <c r="J307" s="31"/>
      <c r="K307" s="27"/>
      <c r="L307" s="28"/>
      <c r="M307" s="29"/>
      <c r="N307" s="29"/>
      <c r="O307" s="28"/>
      <c r="P307" s="28"/>
      <c r="Q307" s="29"/>
      <c r="R307" s="28"/>
      <c r="S307" s="31"/>
      <c r="U307" s="41" t="s">
        <v>84</v>
      </c>
      <c r="V307" s="42"/>
      <c r="W307" s="42"/>
      <c r="Y307" s="43" t="s">
        <v>104</v>
      </c>
    </row>
    <row r="308" ht="15.6" customHeight="1" s="4" customFormat="1">
      <c r="A308" s="67"/>
      <c r="B308" s="27"/>
      <c r="C308" s="28"/>
      <c r="D308" s="29"/>
      <c r="E308" s="29"/>
      <c r="F308" s="30"/>
      <c r="G308" s="28"/>
      <c r="H308" s="29"/>
      <c r="I308" s="28"/>
      <c r="J308" s="31"/>
      <c r="K308" s="27"/>
      <c r="L308" s="28"/>
      <c r="M308" s="29"/>
      <c r="N308" s="29"/>
      <c r="O308" s="28"/>
      <c r="P308" s="28"/>
      <c r="Q308" s="29"/>
      <c r="R308" s="28"/>
      <c r="S308" s="31"/>
      <c r="U308" s="41" t="s">
        <v>84</v>
      </c>
      <c r="V308" s="42"/>
      <c r="W308" s="42"/>
      <c r="Y308" s="43" t="s">
        <v>104</v>
      </c>
    </row>
    <row r="309" ht="15.6" customHeight="1" s="4" customFormat="1">
      <c r="A309" s="67"/>
      <c r="B309" s="27"/>
      <c r="C309" s="28"/>
      <c r="D309" s="29"/>
      <c r="E309" s="29"/>
      <c r="F309" s="30"/>
      <c r="G309" s="28"/>
      <c r="H309" s="29"/>
      <c r="I309" s="28"/>
      <c r="J309" s="31"/>
      <c r="K309" s="27"/>
      <c r="L309" s="28"/>
      <c r="M309" s="29"/>
      <c r="N309" s="29"/>
      <c r="O309" s="28"/>
      <c r="P309" s="28"/>
      <c r="Q309" s="29"/>
      <c r="R309" s="28"/>
      <c r="S309" s="31"/>
      <c r="U309" s="41" t="s">
        <v>84</v>
      </c>
      <c r="V309" s="42"/>
      <c r="W309" s="42"/>
      <c r="Y309" s="43" t="s">
        <v>104</v>
      </c>
    </row>
    <row r="310" ht="15.6" customHeight="1" s="4" customFormat="1">
      <c r="A310" s="67"/>
      <c r="B310" s="27"/>
      <c r="C310" s="28"/>
      <c r="D310" s="29"/>
      <c r="E310" s="29"/>
      <c r="F310" s="30"/>
      <c r="G310" s="28"/>
      <c r="H310" s="29"/>
      <c r="I310" s="28"/>
      <c r="J310" s="31"/>
      <c r="K310" s="27"/>
      <c r="L310" s="28"/>
      <c r="M310" s="29"/>
      <c r="N310" s="29"/>
      <c r="O310" s="28"/>
      <c r="P310" s="28"/>
      <c r="Q310" s="29"/>
      <c r="R310" s="28"/>
      <c r="S310" s="31"/>
      <c r="U310" s="41" t="s">
        <v>84</v>
      </c>
      <c r="V310" s="42"/>
      <c r="W310" s="42"/>
      <c r="Y310" s="43" t="s">
        <v>104</v>
      </c>
    </row>
    <row r="311" ht="15.6" customHeight="1" s="4" customFormat="1">
      <c r="A311" s="67"/>
      <c r="B311" s="27"/>
      <c r="C311" s="28"/>
      <c r="D311" s="29"/>
      <c r="E311" s="29"/>
      <c r="F311" s="30"/>
      <c r="G311" s="28"/>
      <c r="H311" s="29"/>
      <c r="I311" s="28"/>
      <c r="J311" s="31"/>
      <c r="K311" s="27"/>
      <c r="L311" s="28"/>
      <c r="M311" s="29"/>
      <c r="N311" s="29"/>
      <c r="O311" s="28"/>
      <c r="P311" s="28"/>
      <c r="Q311" s="29"/>
      <c r="R311" s="28"/>
      <c r="S311" s="31"/>
      <c r="U311" s="41" t="s">
        <v>84</v>
      </c>
      <c r="V311" s="42"/>
      <c r="W311" s="42"/>
      <c r="Y311" s="43" t="s">
        <v>104</v>
      </c>
    </row>
    <row r="312" ht="15.6" customHeight="1" s="4" customFormat="1">
      <c r="A312" s="67"/>
      <c r="B312" s="27"/>
      <c r="C312" s="28"/>
      <c r="D312" s="29"/>
      <c r="E312" s="29"/>
      <c r="F312" s="30"/>
      <c r="G312" s="28"/>
      <c r="H312" s="29"/>
      <c r="I312" s="28"/>
      <c r="J312" s="31"/>
      <c r="K312" s="27"/>
      <c r="L312" s="28"/>
      <c r="M312" s="29"/>
      <c r="N312" s="29"/>
      <c r="O312" s="28"/>
      <c r="P312" s="28"/>
      <c r="Q312" s="29"/>
      <c r="R312" s="28"/>
      <c r="S312" s="31"/>
      <c r="U312" s="41" t="s">
        <v>84</v>
      </c>
      <c r="V312" s="42"/>
      <c r="W312" s="42"/>
      <c r="Y312" s="43" t="s">
        <v>104</v>
      </c>
    </row>
    <row r="313" ht="15.6" customHeight="1" s="4" customFormat="1">
      <c r="A313" s="67"/>
      <c r="B313" s="27"/>
      <c r="C313" s="28"/>
      <c r="D313" s="29"/>
      <c r="E313" s="29"/>
      <c r="F313" s="30"/>
      <c r="G313" s="28"/>
      <c r="H313" s="29"/>
      <c r="I313" s="28"/>
      <c r="J313" s="31"/>
      <c r="K313" s="27"/>
      <c r="L313" s="28"/>
      <c r="M313" s="29"/>
      <c r="N313" s="29"/>
      <c r="O313" s="28"/>
      <c r="P313" s="28"/>
      <c r="Q313" s="29"/>
      <c r="R313" s="28"/>
      <c r="S313" s="31"/>
      <c r="U313" s="41" t="s">
        <v>84</v>
      </c>
      <c r="V313" s="42"/>
      <c r="W313" s="42"/>
      <c r="Y313" s="43" t="s">
        <v>104</v>
      </c>
    </row>
    <row r="314" ht="15.6" customHeight="1" s="4" customFormat="1">
      <c r="A314" s="67"/>
      <c r="B314" s="27"/>
      <c r="C314" s="28"/>
      <c r="D314" s="29"/>
      <c r="E314" s="29"/>
      <c r="F314" s="30"/>
      <c r="G314" s="28"/>
      <c r="H314" s="29"/>
      <c r="I314" s="28"/>
      <c r="J314" s="31"/>
      <c r="K314" s="27"/>
      <c r="L314" s="28"/>
      <c r="M314" s="29"/>
      <c r="N314" s="29"/>
      <c r="O314" s="28"/>
      <c r="P314" s="28"/>
      <c r="Q314" s="29"/>
      <c r="R314" s="28"/>
      <c r="S314" s="31"/>
      <c r="U314" s="41" t="s">
        <v>84</v>
      </c>
      <c r="V314" s="42"/>
      <c r="W314" s="42"/>
      <c r="Y314" s="43" t="s">
        <v>104</v>
      </c>
    </row>
    <row r="315" ht="15.6" customHeight="1" s="4" customFormat="1">
      <c r="A315" s="67"/>
      <c r="B315" s="27"/>
      <c r="C315" s="28"/>
      <c r="D315" s="29"/>
      <c r="E315" s="29"/>
      <c r="F315" s="30"/>
      <c r="G315" s="28"/>
      <c r="H315" s="29"/>
      <c r="I315" s="28"/>
      <c r="J315" s="31"/>
      <c r="K315" s="27"/>
      <c r="L315" s="28"/>
      <c r="M315" s="29"/>
      <c r="N315" s="29"/>
      <c r="O315" s="28"/>
      <c r="P315" s="28"/>
      <c r="Q315" s="29"/>
      <c r="R315" s="28"/>
      <c r="S315" s="31"/>
      <c r="U315" s="41" t="s">
        <v>84</v>
      </c>
      <c r="V315" s="42"/>
      <c r="W315" s="42"/>
      <c r="Y315" s="43" t="s">
        <v>104</v>
      </c>
    </row>
    <row r="316" ht="15.6" customHeight="1" s="4" customFormat="1">
      <c r="A316" s="67"/>
      <c r="B316" s="27"/>
      <c r="C316" s="28"/>
      <c r="D316" s="29"/>
      <c r="E316" s="29"/>
      <c r="F316" s="30"/>
      <c r="G316" s="28"/>
      <c r="H316" s="29"/>
      <c r="I316" s="28"/>
      <c r="J316" s="31"/>
      <c r="K316" s="27"/>
      <c r="L316" s="28"/>
      <c r="M316" s="29"/>
      <c r="N316" s="29"/>
      <c r="O316" s="28"/>
      <c r="P316" s="28"/>
      <c r="Q316" s="29"/>
      <c r="R316" s="28"/>
      <c r="S316" s="31"/>
      <c r="U316" s="41" t="s">
        <v>84</v>
      </c>
      <c r="V316" s="42"/>
      <c r="W316" s="42"/>
      <c r="Y316" s="43" t="s">
        <v>104</v>
      </c>
    </row>
    <row r="317" ht="15.6" customHeight="1" s="4" customFormat="1">
      <c r="A317" s="67"/>
      <c r="B317" s="27"/>
      <c r="C317" s="28"/>
      <c r="D317" s="29"/>
      <c r="E317" s="29"/>
      <c r="F317" s="30"/>
      <c r="G317" s="28"/>
      <c r="H317" s="29"/>
      <c r="I317" s="28"/>
      <c r="J317" s="31"/>
      <c r="K317" s="27"/>
      <c r="L317" s="28"/>
      <c r="M317" s="29"/>
      <c r="N317" s="29"/>
      <c r="O317" s="28"/>
      <c r="P317" s="28"/>
      <c r="Q317" s="29"/>
      <c r="R317" s="28"/>
      <c r="S317" s="31"/>
      <c r="U317" s="41" t="s">
        <v>84</v>
      </c>
      <c r="V317" s="42"/>
      <c r="W317" s="42"/>
      <c r="Y317" s="43" t="s">
        <v>104</v>
      </c>
    </row>
    <row r="318" ht="15.6" customHeight="1" s="4" customFormat="1">
      <c r="A318" s="67"/>
      <c r="B318" s="27"/>
      <c r="C318" s="28"/>
      <c r="D318" s="29"/>
      <c r="E318" s="29"/>
      <c r="F318" s="30"/>
      <c r="G318" s="28"/>
      <c r="H318" s="29"/>
      <c r="I318" s="28"/>
      <c r="J318" s="31"/>
      <c r="K318" s="27"/>
      <c r="L318" s="28"/>
      <c r="M318" s="29"/>
      <c r="N318" s="29"/>
      <c r="O318" s="28"/>
      <c r="P318" s="28"/>
      <c r="Q318" s="29"/>
      <c r="R318" s="28"/>
      <c r="S318" s="31"/>
      <c r="U318" s="41" t="s">
        <v>84</v>
      </c>
      <c r="V318" s="42"/>
      <c r="W318" s="42"/>
      <c r="Y318" s="43" t="s">
        <v>104</v>
      </c>
    </row>
    <row r="319" ht="15.6" customHeight="1" s="4" customFormat="1">
      <c r="A319" s="67"/>
      <c r="B319" s="27"/>
      <c r="C319" s="28"/>
      <c r="D319" s="29"/>
      <c r="E319" s="29"/>
      <c r="F319" s="30"/>
      <c r="G319" s="28"/>
      <c r="H319" s="29"/>
      <c r="I319" s="28"/>
      <c r="J319" s="31"/>
      <c r="K319" s="27"/>
      <c r="L319" s="28"/>
      <c r="M319" s="29"/>
      <c r="N319" s="29"/>
      <c r="O319" s="28"/>
      <c r="P319" s="28"/>
      <c r="Q319" s="29"/>
      <c r="R319" s="28"/>
      <c r="S319" s="31"/>
      <c r="U319" s="41" t="s">
        <v>84</v>
      </c>
      <c r="V319" s="42"/>
      <c r="W319" s="42"/>
      <c r="Y319" s="43" t="s">
        <v>104</v>
      </c>
    </row>
    <row r="320" ht="15.6" customHeight="1" s="4" customFormat="1">
      <c r="A320" s="67"/>
      <c r="B320" s="27"/>
      <c r="C320" s="28"/>
      <c r="D320" s="29"/>
      <c r="E320" s="29"/>
      <c r="F320" s="30"/>
      <c r="G320" s="28"/>
      <c r="H320" s="29"/>
      <c r="I320" s="28"/>
      <c r="J320" s="31"/>
      <c r="K320" s="27"/>
      <c r="L320" s="28"/>
      <c r="M320" s="29"/>
      <c r="N320" s="29"/>
      <c r="O320" s="28"/>
      <c r="P320" s="28"/>
      <c r="Q320" s="29"/>
      <c r="R320" s="28"/>
      <c r="S320" s="31"/>
      <c r="U320" s="41" t="s">
        <v>84</v>
      </c>
      <c r="V320" s="42"/>
      <c r="W320" s="42"/>
      <c r="Y320" s="43" t="s">
        <v>104</v>
      </c>
    </row>
    <row r="321" ht="15.6" customHeight="1" s="4" customFormat="1">
      <c r="A321" s="67"/>
      <c r="B321" s="27"/>
      <c r="C321" s="28"/>
      <c r="D321" s="29"/>
      <c r="E321" s="29"/>
      <c r="F321" s="30"/>
      <c r="G321" s="28"/>
      <c r="H321" s="29"/>
      <c r="I321" s="28"/>
      <c r="J321" s="31"/>
      <c r="K321" s="27"/>
      <c r="L321" s="28"/>
      <c r="M321" s="29"/>
      <c r="N321" s="29"/>
      <c r="O321" s="28"/>
      <c r="P321" s="28"/>
      <c r="Q321" s="29"/>
      <c r="R321" s="28"/>
      <c r="S321" s="31"/>
      <c r="U321" s="41" t="s">
        <v>84</v>
      </c>
      <c r="V321" s="42"/>
      <c r="W321" s="42"/>
      <c r="Y321" s="43" t="s">
        <v>104</v>
      </c>
    </row>
    <row r="322" ht="15.6" customHeight="1" s="4" customFormat="1">
      <c r="A322" s="67"/>
      <c r="B322" s="27"/>
      <c r="C322" s="28"/>
      <c r="D322" s="29"/>
      <c r="E322" s="29"/>
      <c r="F322" s="30"/>
      <c r="G322" s="28"/>
      <c r="H322" s="29"/>
      <c r="I322" s="28"/>
      <c r="J322" s="31"/>
      <c r="K322" s="27"/>
      <c r="L322" s="28"/>
      <c r="M322" s="29"/>
      <c r="N322" s="29"/>
      <c r="O322" s="28"/>
      <c r="P322" s="28"/>
      <c r="Q322" s="29"/>
      <c r="R322" s="28"/>
      <c r="S322" s="31"/>
      <c r="U322" s="41" t="s">
        <v>84</v>
      </c>
      <c r="V322" s="42"/>
      <c r="W322" s="42"/>
      <c r="Y322" s="43" t="s">
        <v>104</v>
      </c>
    </row>
    <row r="323" ht="15.6" customHeight="1" s="4" customFormat="1">
      <c r="A323" s="67"/>
      <c r="B323" s="27"/>
      <c r="C323" s="28"/>
      <c r="D323" s="29"/>
      <c r="E323" s="29"/>
      <c r="F323" s="30"/>
      <c r="G323" s="28"/>
      <c r="H323" s="29"/>
      <c r="I323" s="28"/>
      <c r="J323" s="31"/>
      <c r="K323" s="27"/>
      <c r="L323" s="28"/>
      <c r="M323" s="29"/>
      <c r="N323" s="29"/>
      <c r="O323" s="28"/>
      <c r="P323" s="28"/>
      <c r="Q323" s="29"/>
      <c r="R323" s="28"/>
      <c r="S323" s="31"/>
      <c r="U323" s="41" t="s">
        <v>84</v>
      </c>
      <c r="V323" s="42"/>
      <c r="W323" s="42"/>
      <c r="Y323" s="43" t="s">
        <v>104</v>
      </c>
    </row>
    <row r="324" ht="15.6" customHeight="1" s="4" customFormat="1">
      <c r="A324" s="67"/>
      <c r="B324" s="27"/>
      <c r="C324" s="28"/>
      <c r="D324" s="29"/>
      <c r="E324" s="29"/>
      <c r="F324" s="30"/>
      <c r="G324" s="28"/>
      <c r="H324" s="29"/>
      <c r="I324" s="28"/>
      <c r="J324" s="31"/>
      <c r="K324" s="27"/>
      <c r="L324" s="28"/>
      <c r="M324" s="29"/>
      <c r="N324" s="29"/>
      <c r="O324" s="28"/>
      <c r="P324" s="28"/>
      <c r="Q324" s="29"/>
      <c r="R324" s="28"/>
      <c r="S324" s="31"/>
      <c r="U324" s="41" t="s">
        <v>84</v>
      </c>
      <c r="V324" s="42"/>
      <c r="W324" s="42"/>
      <c r="Y324" s="43" t="s">
        <v>104</v>
      </c>
    </row>
    <row r="325" ht="15.6" customHeight="1" s="4" customFormat="1">
      <c r="A325" s="67"/>
      <c r="B325" s="27"/>
      <c r="C325" s="28"/>
      <c r="D325" s="29"/>
      <c r="E325" s="29"/>
      <c r="F325" s="30"/>
      <c r="G325" s="28"/>
      <c r="H325" s="29"/>
      <c r="I325" s="28"/>
      <c r="J325" s="31"/>
      <c r="K325" s="27"/>
      <c r="L325" s="28"/>
      <c r="M325" s="29"/>
      <c r="N325" s="29"/>
      <c r="O325" s="28"/>
      <c r="P325" s="28"/>
      <c r="Q325" s="29"/>
      <c r="R325" s="28"/>
      <c r="S325" s="31"/>
      <c r="U325" s="41" t="s">
        <v>84</v>
      </c>
      <c r="V325" s="42"/>
      <c r="W325" s="42"/>
      <c r="Y325" s="43" t="s">
        <v>104</v>
      </c>
    </row>
    <row r="326" ht="15.6" customHeight="1" s="4" customFormat="1">
      <c r="A326" s="67"/>
      <c r="B326" s="27"/>
      <c r="C326" s="28"/>
      <c r="D326" s="29"/>
      <c r="E326" s="29"/>
      <c r="F326" s="30"/>
      <c r="G326" s="28"/>
      <c r="H326" s="29"/>
      <c r="I326" s="28"/>
      <c r="J326" s="31"/>
      <c r="K326" s="27"/>
      <c r="L326" s="28"/>
      <c r="M326" s="29"/>
      <c r="N326" s="29"/>
      <c r="O326" s="28"/>
      <c r="P326" s="28"/>
      <c r="Q326" s="29"/>
      <c r="R326" s="28"/>
      <c r="S326" s="31"/>
      <c r="U326" s="41" t="s">
        <v>84</v>
      </c>
      <c r="V326" s="42"/>
      <c r="W326" s="42"/>
      <c r="Y326" s="43" t="s">
        <v>104</v>
      </c>
    </row>
    <row r="327" ht="15.6" customHeight="1" s="4" customFormat="1">
      <c r="A327" s="67"/>
      <c r="B327" s="27"/>
      <c r="C327" s="28"/>
      <c r="D327" s="29"/>
      <c r="E327" s="29"/>
      <c r="F327" s="30"/>
      <c r="G327" s="28"/>
      <c r="H327" s="29"/>
      <c r="I327" s="28"/>
      <c r="J327" s="31"/>
      <c r="K327" s="27"/>
      <c r="L327" s="28"/>
      <c r="M327" s="29"/>
      <c r="N327" s="29"/>
      <c r="O327" s="28"/>
      <c r="P327" s="28"/>
      <c r="Q327" s="29"/>
      <c r="R327" s="28"/>
      <c r="S327" s="31"/>
      <c r="U327" s="41" t="s">
        <v>84</v>
      </c>
      <c r="V327" s="42"/>
      <c r="W327" s="42"/>
      <c r="Y327" s="43" t="s">
        <v>104</v>
      </c>
    </row>
    <row r="328" ht="15.6" customHeight="1" s="4" customFormat="1">
      <c r="A328" s="67"/>
      <c r="B328" s="27"/>
      <c r="C328" s="28"/>
      <c r="D328" s="29"/>
      <c r="E328" s="29"/>
      <c r="F328" s="30"/>
      <c r="G328" s="28"/>
      <c r="H328" s="29"/>
      <c r="I328" s="28"/>
      <c r="J328" s="31"/>
      <c r="K328" s="27"/>
      <c r="L328" s="28"/>
      <c r="M328" s="29"/>
      <c r="N328" s="29"/>
      <c r="O328" s="28"/>
      <c r="P328" s="28"/>
      <c r="Q328" s="29"/>
      <c r="R328" s="28"/>
      <c r="S328" s="31"/>
      <c r="U328" s="41" t="s">
        <v>84</v>
      </c>
      <c r="V328" s="42"/>
      <c r="W328" s="42"/>
      <c r="Y328" s="43" t="s">
        <v>104</v>
      </c>
    </row>
    <row r="329" ht="15.6" customHeight="1" s="4" customFormat="1">
      <c r="A329" s="67"/>
      <c r="B329" s="27"/>
      <c r="C329" s="28"/>
      <c r="D329" s="29"/>
      <c r="E329" s="29"/>
      <c r="F329" s="30"/>
      <c r="G329" s="28"/>
      <c r="H329" s="29"/>
      <c r="I329" s="28"/>
      <c r="J329" s="31"/>
      <c r="K329" s="27"/>
      <c r="L329" s="28"/>
      <c r="M329" s="29"/>
      <c r="N329" s="29"/>
      <c r="O329" s="28"/>
      <c r="P329" s="28"/>
      <c r="Q329" s="29"/>
      <c r="R329" s="28"/>
      <c r="S329" s="31"/>
      <c r="U329" s="41" t="s">
        <v>84</v>
      </c>
      <c r="V329" s="42"/>
      <c r="W329" s="42"/>
      <c r="Y329" s="43" t="s">
        <v>104</v>
      </c>
    </row>
    <row r="330" ht="15.6" customHeight="1" s="4" customFormat="1">
      <c r="A330" s="67"/>
      <c r="B330" s="27"/>
      <c r="C330" s="28"/>
      <c r="D330" s="29"/>
      <c r="E330" s="29"/>
      <c r="F330" s="30"/>
      <c r="G330" s="28"/>
      <c r="H330" s="29"/>
      <c r="I330" s="28"/>
      <c r="J330" s="31"/>
      <c r="K330" s="27"/>
      <c r="L330" s="28"/>
      <c r="M330" s="29"/>
      <c r="N330" s="29"/>
      <c r="O330" s="28"/>
      <c r="P330" s="28"/>
      <c r="Q330" s="29"/>
      <c r="R330" s="28"/>
      <c r="S330" s="31"/>
      <c r="U330" s="41" t="s">
        <v>84</v>
      </c>
      <c r="V330" s="42"/>
      <c r="W330" s="42"/>
      <c r="Y330" s="43" t="s">
        <v>104</v>
      </c>
    </row>
    <row r="331" ht="15.6" customHeight="1" s="4" customFormat="1">
      <c r="A331" s="67"/>
      <c r="B331" s="27"/>
      <c r="C331" s="28"/>
      <c r="D331" s="29"/>
      <c r="E331" s="29"/>
      <c r="F331" s="30"/>
      <c r="G331" s="28"/>
      <c r="H331" s="29"/>
      <c r="I331" s="28"/>
      <c r="J331" s="31"/>
      <c r="K331" s="27"/>
      <c r="L331" s="28"/>
      <c r="M331" s="29"/>
      <c r="N331" s="29"/>
      <c r="O331" s="28"/>
      <c r="P331" s="28"/>
      <c r="Q331" s="29"/>
      <c r="R331" s="28"/>
      <c r="S331" s="31"/>
      <c r="U331" s="41" t="s">
        <v>84</v>
      </c>
      <c r="V331" s="42"/>
      <c r="W331" s="42"/>
      <c r="Y331" s="43" t="s">
        <v>104</v>
      </c>
    </row>
    <row r="332" ht="15.6" customHeight="1" s="4" customFormat="1">
      <c r="A332" s="67"/>
      <c r="B332" s="27"/>
      <c r="C332" s="28"/>
      <c r="D332" s="29"/>
      <c r="E332" s="29"/>
      <c r="F332" s="30"/>
      <c r="G332" s="28"/>
      <c r="H332" s="29"/>
      <c r="I332" s="28"/>
      <c r="J332" s="31"/>
      <c r="K332" s="27"/>
      <c r="L332" s="28"/>
      <c r="M332" s="29"/>
      <c r="N332" s="29"/>
      <c r="O332" s="28"/>
      <c r="P332" s="28"/>
      <c r="Q332" s="29"/>
      <c r="R332" s="28"/>
      <c r="S332" s="31"/>
      <c r="U332" s="41" t="s">
        <v>84</v>
      </c>
      <c r="V332" s="42"/>
      <c r="W332" s="42"/>
      <c r="Y332" s="43" t="s">
        <v>104</v>
      </c>
    </row>
    <row r="333" ht="15.6" customHeight="1" s="4" customFormat="1">
      <c r="A333" s="67"/>
      <c r="B333" s="27"/>
      <c r="C333" s="28"/>
      <c r="D333" s="29"/>
      <c r="E333" s="29"/>
      <c r="F333" s="30"/>
      <c r="G333" s="28"/>
      <c r="H333" s="29"/>
      <c r="I333" s="28"/>
      <c r="J333" s="31"/>
      <c r="K333" s="27"/>
      <c r="L333" s="28"/>
      <c r="M333" s="29"/>
      <c r="N333" s="29"/>
      <c r="O333" s="28"/>
      <c r="P333" s="28"/>
      <c r="Q333" s="29"/>
      <c r="R333" s="28"/>
      <c r="S333" s="31"/>
      <c r="U333" s="41" t="s">
        <v>84</v>
      </c>
      <c r="V333" s="42"/>
      <c r="W333" s="42"/>
      <c r="Y333" s="43" t="s">
        <v>104</v>
      </c>
    </row>
    <row r="334" ht="15.6" customHeight="1" s="4" customFormat="1">
      <c r="A334" s="67"/>
      <c r="B334" s="27"/>
      <c r="C334" s="28"/>
      <c r="D334" s="29"/>
      <c r="E334" s="29"/>
      <c r="F334" s="30"/>
      <c r="G334" s="28"/>
      <c r="H334" s="29"/>
      <c r="I334" s="28"/>
      <c r="J334" s="31"/>
      <c r="K334" s="27"/>
      <c r="L334" s="28"/>
      <c r="M334" s="29"/>
      <c r="N334" s="29"/>
      <c r="O334" s="28"/>
      <c r="P334" s="28"/>
      <c r="Q334" s="29"/>
      <c r="R334" s="28"/>
      <c r="S334" s="31"/>
      <c r="U334" s="41" t="s">
        <v>84</v>
      </c>
      <c r="V334" s="42"/>
      <c r="W334" s="42"/>
      <c r="Y334" s="43" t="s">
        <v>104</v>
      </c>
    </row>
    <row r="335" ht="15.6" customHeight="1" s="4" customFormat="1">
      <c r="A335" s="67"/>
      <c r="B335" s="27"/>
      <c r="C335" s="28"/>
      <c r="D335" s="29"/>
      <c r="E335" s="29"/>
      <c r="F335" s="30"/>
      <c r="G335" s="28"/>
      <c r="H335" s="29"/>
      <c r="I335" s="28"/>
      <c r="J335" s="31"/>
      <c r="K335" s="27"/>
      <c r="L335" s="28"/>
      <c r="M335" s="29"/>
      <c r="N335" s="29"/>
      <c r="O335" s="28"/>
      <c r="P335" s="28"/>
      <c r="Q335" s="29"/>
      <c r="R335" s="28"/>
      <c r="S335" s="31"/>
      <c r="U335" s="41" t="s">
        <v>84</v>
      </c>
      <c r="V335" s="42"/>
      <c r="W335" s="42"/>
      <c r="Y335" s="43" t="s">
        <v>104</v>
      </c>
    </row>
    <row r="336" ht="15.6" customHeight="1" s="4" customFormat="1">
      <c r="A336" s="67"/>
      <c r="B336" s="27"/>
      <c r="C336" s="28"/>
      <c r="D336" s="29"/>
      <c r="E336" s="29"/>
      <c r="F336" s="30"/>
      <c r="G336" s="28"/>
      <c r="H336" s="29"/>
      <c r="I336" s="28"/>
      <c r="J336" s="31"/>
      <c r="K336" s="27"/>
      <c r="L336" s="28"/>
      <c r="M336" s="29"/>
      <c r="N336" s="29"/>
      <c r="O336" s="28"/>
      <c r="P336" s="28"/>
      <c r="Q336" s="29"/>
      <c r="R336" s="28"/>
      <c r="S336" s="31"/>
      <c r="U336" s="41" t="s">
        <v>84</v>
      </c>
      <c r="V336" s="42"/>
      <c r="W336" s="42"/>
      <c r="Y336" s="43" t="s">
        <v>104</v>
      </c>
    </row>
    <row r="337" ht="15.6" customHeight="1" s="4" customFormat="1">
      <c r="A337" s="67"/>
      <c r="B337" s="27"/>
      <c r="C337" s="28"/>
      <c r="D337" s="29"/>
      <c r="E337" s="29"/>
      <c r="F337" s="30"/>
      <c r="G337" s="28"/>
      <c r="H337" s="29"/>
      <c r="I337" s="28"/>
      <c r="J337" s="31"/>
      <c r="K337" s="27"/>
      <c r="L337" s="28"/>
      <c r="M337" s="29"/>
      <c r="N337" s="29"/>
      <c r="O337" s="28"/>
      <c r="P337" s="28"/>
      <c r="Q337" s="29"/>
      <c r="R337" s="28"/>
      <c r="S337" s="31"/>
      <c r="U337" s="41" t="s">
        <v>84</v>
      </c>
      <c r="V337" s="42"/>
      <c r="W337" s="42"/>
      <c r="Y337" s="43" t="s">
        <v>104</v>
      </c>
    </row>
    <row r="338" ht="15.6" customHeight="1" s="4" customFormat="1">
      <c r="A338" s="67"/>
      <c r="B338" s="27"/>
      <c r="C338" s="28"/>
      <c r="D338" s="29"/>
      <c r="E338" s="29"/>
      <c r="F338" s="30"/>
      <c r="G338" s="28"/>
      <c r="H338" s="29"/>
      <c r="I338" s="28"/>
      <c r="J338" s="31"/>
      <c r="K338" s="27"/>
      <c r="L338" s="28"/>
      <c r="M338" s="29"/>
      <c r="N338" s="29"/>
      <c r="O338" s="28"/>
      <c r="P338" s="28"/>
      <c r="Q338" s="29"/>
      <c r="R338" s="28"/>
      <c r="S338" s="31"/>
      <c r="U338" s="41" t="s">
        <v>84</v>
      </c>
      <c r="V338" s="42"/>
      <c r="W338" s="42"/>
      <c r="Y338" s="43" t="s">
        <v>104</v>
      </c>
    </row>
    <row r="339" ht="15.6" customHeight="1" s="4" customFormat="1">
      <c r="A339" s="67"/>
      <c r="B339" s="27"/>
      <c r="C339" s="28"/>
      <c r="D339" s="29"/>
      <c r="E339" s="29"/>
      <c r="F339" s="30"/>
      <c r="G339" s="28"/>
      <c r="H339" s="29"/>
      <c r="I339" s="28"/>
      <c r="J339" s="31"/>
      <c r="K339" s="27"/>
      <c r="L339" s="28"/>
      <c r="M339" s="29"/>
      <c r="N339" s="29"/>
      <c r="O339" s="28"/>
      <c r="P339" s="28"/>
      <c r="Q339" s="29"/>
      <c r="R339" s="28"/>
      <c r="S339" s="31"/>
      <c r="U339" s="41" t="s">
        <v>84</v>
      </c>
      <c r="V339" s="42"/>
      <c r="W339" s="42"/>
      <c r="Y339" s="43" t="s">
        <v>104</v>
      </c>
    </row>
    <row r="340" ht="15.6" customHeight="1" s="4" customFormat="1">
      <c r="A340" s="67"/>
      <c r="B340" s="27"/>
      <c r="C340" s="28"/>
      <c r="D340" s="29"/>
      <c r="E340" s="29"/>
      <c r="F340" s="30"/>
      <c r="G340" s="28"/>
      <c r="H340" s="29"/>
      <c r="I340" s="28"/>
      <c r="J340" s="31"/>
      <c r="K340" s="27"/>
      <c r="L340" s="28"/>
      <c r="M340" s="29"/>
      <c r="N340" s="29"/>
      <c r="O340" s="28"/>
      <c r="P340" s="28"/>
      <c r="Q340" s="29"/>
      <c r="R340" s="28"/>
      <c r="S340" s="31"/>
      <c r="U340" s="41" t="s">
        <v>84</v>
      </c>
      <c r="V340" s="42"/>
      <c r="W340" s="42"/>
      <c r="Y340" s="43" t="s">
        <v>104</v>
      </c>
    </row>
    <row r="341" ht="15.6" customHeight="1" s="4" customFormat="1">
      <c r="A341" s="67"/>
      <c r="B341" s="27"/>
      <c r="C341" s="28"/>
      <c r="D341" s="29"/>
      <c r="E341" s="29"/>
      <c r="F341" s="30"/>
      <c r="G341" s="28"/>
      <c r="H341" s="29"/>
      <c r="I341" s="28"/>
      <c r="J341" s="31"/>
      <c r="K341" s="27"/>
      <c r="L341" s="28"/>
      <c r="M341" s="29"/>
      <c r="N341" s="29"/>
      <c r="O341" s="28"/>
      <c r="P341" s="28"/>
      <c r="Q341" s="29"/>
      <c r="R341" s="28"/>
      <c r="S341" s="31"/>
      <c r="U341" s="41" t="s">
        <v>84</v>
      </c>
      <c r="V341" s="42"/>
      <c r="W341" s="42"/>
      <c r="Y341" s="43" t="s">
        <v>104</v>
      </c>
    </row>
    <row r="342" ht="15.6" customHeight="1" s="4" customFormat="1">
      <c r="A342" s="67"/>
      <c r="B342" s="27"/>
      <c r="C342" s="28"/>
      <c r="D342" s="29"/>
      <c r="E342" s="29"/>
      <c r="F342" s="30"/>
      <c r="G342" s="28"/>
      <c r="H342" s="29"/>
      <c r="I342" s="28"/>
      <c r="J342" s="31"/>
      <c r="K342" s="27"/>
      <c r="L342" s="28"/>
      <c r="M342" s="29"/>
      <c r="N342" s="29"/>
      <c r="O342" s="28"/>
      <c r="P342" s="28"/>
      <c r="Q342" s="29"/>
      <c r="R342" s="28"/>
      <c r="S342" s="31"/>
      <c r="U342" s="41" t="s">
        <v>84</v>
      </c>
      <c r="V342" s="42"/>
      <c r="W342" s="42"/>
      <c r="Y342" s="43" t="s">
        <v>104</v>
      </c>
    </row>
    <row r="343" ht="15.6" customHeight="1" s="4" customFormat="1">
      <c r="A343" s="67"/>
      <c r="B343" s="27"/>
      <c r="C343" s="28"/>
      <c r="D343" s="29"/>
      <c r="E343" s="29"/>
      <c r="F343" s="30"/>
      <c r="G343" s="28"/>
      <c r="H343" s="29"/>
      <c r="I343" s="28"/>
      <c r="J343" s="31"/>
      <c r="K343" s="27"/>
      <c r="L343" s="28"/>
      <c r="M343" s="29"/>
      <c r="N343" s="29"/>
      <c r="O343" s="28"/>
      <c r="P343" s="28"/>
      <c r="Q343" s="29"/>
      <c r="R343" s="28"/>
      <c r="S343" s="31"/>
      <c r="U343" s="41" t="s">
        <v>84</v>
      </c>
      <c r="V343" s="42"/>
      <c r="W343" s="42"/>
      <c r="Y343" s="43" t="s">
        <v>104</v>
      </c>
    </row>
    <row r="344" ht="15.6" customHeight="1" s="4" customFormat="1">
      <c r="A344" s="67"/>
      <c r="B344" s="27"/>
      <c r="C344" s="28"/>
      <c r="D344" s="29"/>
      <c r="E344" s="29"/>
      <c r="F344" s="30"/>
      <c r="G344" s="28"/>
      <c r="H344" s="29"/>
      <c r="I344" s="28"/>
      <c r="J344" s="31"/>
      <c r="K344" s="27"/>
      <c r="L344" s="28"/>
      <c r="M344" s="29"/>
      <c r="N344" s="29"/>
      <c r="O344" s="28"/>
      <c r="P344" s="28"/>
      <c r="Q344" s="29"/>
      <c r="R344" s="28"/>
      <c r="S344" s="31"/>
      <c r="U344" s="41" t="s">
        <v>84</v>
      </c>
      <c r="V344" s="42"/>
      <c r="W344" s="42"/>
      <c r="Y344" s="43" t="s">
        <v>104</v>
      </c>
    </row>
    <row r="345" ht="15.6" customHeight="1" s="4" customFormat="1">
      <c r="A345" s="67"/>
      <c r="B345" s="27"/>
      <c r="C345" s="28"/>
      <c r="D345" s="29"/>
      <c r="E345" s="29"/>
      <c r="F345" s="30"/>
      <c r="G345" s="28"/>
      <c r="H345" s="29"/>
      <c r="I345" s="28"/>
      <c r="J345" s="31"/>
      <c r="K345" s="27"/>
      <c r="L345" s="28"/>
      <c r="M345" s="29"/>
      <c r="N345" s="29"/>
      <c r="O345" s="28"/>
      <c r="P345" s="28"/>
      <c r="Q345" s="29"/>
      <c r="R345" s="28"/>
      <c r="S345" s="31"/>
      <c r="U345" s="41" t="s">
        <v>84</v>
      </c>
      <c r="V345" s="42"/>
      <c r="W345" s="42"/>
      <c r="Y345" s="43" t="s">
        <v>104</v>
      </c>
    </row>
    <row r="346" ht="15.6" customHeight="1" s="4" customFormat="1">
      <c r="A346" s="67"/>
      <c r="B346" s="27"/>
      <c r="C346" s="28"/>
      <c r="D346" s="29"/>
      <c r="E346" s="29"/>
      <c r="F346" s="30"/>
      <c r="G346" s="28"/>
      <c r="H346" s="29"/>
      <c r="I346" s="28"/>
      <c r="J346" s="31"/>
      <c r="K346" s="27"/>
      <c r="L346" s="28"/>
      <c r="M346" s="29"/>
      <c r="N346" s="29"/>
      <c r="O346" s="28"/>
      <c r="P346" s="28"/>
      <c r="Q346" s="29"/>
      <c r="R346" s="28"/>
      <c r="S346" s="31"/>
      <c r="U346" s="41"/>
      <c r="V346" s="42"/>
      <c r="W346" s="42"/>
      <c r="Y346" s="43"/>
    </row>
    <row r="347" ht="15.6" customHeight="1" s="4" customFormat="1">
      <c r="A347" s="67"/>
      <c r="B347" s="27"/>
      <c r="C347" s="28"/>
      <c r="D347" s="29"/>
      <c r="E347" s="29"/>
      <c r="F347" s="30"/>
      <c r="G347" s="28"/>
      <c r="H347" s="29"/>
      <c r="I347" s="28"/>
      <c r="J347" s="31"/>
      <c r="K347" s="27"/>
      <c r="L347" s="28"/>
      <c r="M347" s="29"/>
      <c r="N347" s="29"/>
      <c r="O347" s="28"/>
      <c r="P347" s="28"/>
      <c r="Q347" s="29"/>
      <c r="R347" s="28"/>
      <c r="S347" s="31"/>
      <c r="U347" s="41" t="s">
        <v>84</v>
      </c>
      <c r="V347" s="42"/>
      <c r="W347" s="42"/>
      <c r="Y347" s="43" t="s">
        <v>104</v>
      </c>
    </row>
    <row r="348" ht="15.6" customHeight="1" s="4" customFormat="1">
      <c r="A348" s="67"/>
      <c r="B348" s="27"/>
      <c r="C348" s="28"/>
      <c r="D348" s="29"/>
      <c r="E348" s="29"/>
      <c r="F348" s="30"/>
      <c r="G348" s="28"/>
      <c r="H348" s="29"/>
      <c r="I348" s="28"/>
      <c r="J348" s="31"/>
      <c r="K348" s="27"/>
      <c r="L348" s="28"/>
      <c r="M348" s="29"/>
      <c r="N348" s="29"/>
      <c r="O348" s="28"/>
      <c r="P348" s="28"/>
      <c r="Q348" s="29"/>
      <c r="R348" s="28"/>
      <c r="S348" s="31"/>
      <c r="U348" s="41" t="s">
        <v>84</v>
      </c>
      <c r="V348" s="42"/>
      <c r="W348" s="42"/>
      <c r="Y348" s="43" t="s">
        <v>104</v>
      </c>
    </row>
    <row r="349" ht="15.6" customHeight="1" s="4" customFormat="1">
      <c r="A349" s="67"/>
      <c r="B349" s="27"/>
      <c r="C349" s="28"/>
      <c r="D349" s="29"/>
      <c r="E349" s="29"/>
      <c r="F349" s="30"/>
      <c r="G349" s="28"/>
      <c r="H349" s="29"/>
      <c r="I349" s="28"/>
      <c r="J349" s="31"/>
      <c r="K349" s="27"/>
      <c r="L349" s="28"/>
      <c r="M349" s="29"/>
      <c r="N349" s="29"/>
      <c r="O349" s="28"/>
      <c r="P349" s="28"/>
      <c r="Q349" s="29"/>
      <c r="R349" s="28"/>
      <c r="S349" s="31"/>
      <c r="U349" s="41" t="s">
        <v>84</v>
      </c>
      <c r="V349" s="42"/>
      <c r="W349" s="42"/>
      <c r="Y349" s="43" t="s">
        <v>104</v>
      </c>
    </row>
    <row r="350" ht="15.6" customHeight="1" s="4" customFormat="1">
      <c r="A350" s="67"/>
      <c r="B350" s="27"/>
      <c r="C350" s="28"/>
      <c r="D350" s="29"/>
      <c r="E350" s="29"/>
      <c r="F350" s="30"/>
      <c r="G350" s="28"/>
      <c r="H350" s="29"/>
      <c r="I350" s="28"/>
      <c r="J350" s="31"/>
      <c r="K350" s="27"/>
      <c r="L350" s="28"/>
      <c r="M350" s="29"/>
      <c r="N350" s="29"/>
      <c r="O350" s="28"/>
      <c r="P350" s="28"/>
      <c r="Q350" s="29"/>
      <c r="R350" s="28"/>
      <c r="S350" s="31"/>
      <c r="U350" s="41" t="s">
        <v>84</v>
      </c>
      <c r="V350" s="42"/>
      <c r="W350" s="42"/>
      <c r="Y350" s="43" t="s">
        <v>104</v>
      </c>
    </row>
    <row r="351" ht="15.6" customHeight="1" s="4" customFormat="1">
      <c r="A351" s="67"/>
      <c r="B351" s="27"/>
      <c r="C351" s="28"/>
      <c r="D351" s="29"/>
      <c r="E351" s="29"/>
      <c r="F351" s="30"/>
      <c r="G351" s="28"/>
      <c r="H351" s="29"/>
      <c r="I351" s="28"/>
      <c r="J351" s="31"/>
      <c r="K351" s="27"/>
      <c r="L351" s="28"/>
      <c r="M351" s="29"/>
      <c r="N351" s="29"/>
      <c r="O351" s="28"/>
      <c r="P351" s="28"/>
      <c r="Q351" s="29"/>
      <c r="R351" s="28"/>
      <c r="S351" s="31"/>
      <c r="U351" s="41" t="s">
        <v>84</v>
      </c>
      <c r="V351" s="42"/>
      <c r="W351" s="42"/>
      <c r="Y351" s="43" t="s">
        <v>104</v>
      </c>
    </row>
    <row r="352" ht="15.6" customHeight="1" s="4" customFormat="1">
      <c r="A352" s="67"/>
      <c r="B352" s="27"/>
      <c r="C352" s="28"/>
      <c r="D352" s="29"/>
      <c r="E352" s="29"/>
      <c r="F352" s="30"/>
      <c r="G352" s="28"/>
      <c r="H352" s="29"/>
      <c r="I352" s="28"/>
      <c r="J352" s="69"/>
      <c r="K352" s="27"/>
      <c r="L352" s="28"/>
      <c r="M352" s="29"/>
      <c r="N352" s="29"/>
      <c r="O352" s="28"/>
      <c r="P352" s="28"/>
      <c r="Q352" s="29"/>
      <c r="R352" s="28"/>
      <c r="S352" s="69"/>
      <c r="U352" s="41" t="s">
        <v>84</v>
      </c>
      <c r="V352" s="42"/>
      <c r="W352" s="42"/>
      <c r="Y352" s="43" t="s">
        <v>104</v>
      </c>
      <c r="AB352" s="4" t="s">
        <v>105</v>
      </c>
    </row>
    <row r="353" ht="15.6" customHeight="1" s="4" customFormat="1">
      <c r="A353" s="67"/>
      <c r="B353" s="27"/>
      <c r="C353" s="28"/>
      <c r="D353" s="29"/>
      <c r="E353" s="29"/>
      <c r="F353" s="30"/>
      <c r="G353" s="28"/>
      <c r="H353" s="29"/>
      <c r="I353" s="28"/>
      <c r="J353" s="69"/>
      <c r="K353" s="27"/>
      <c r="L353" s="28"/>
      <c r="M353" s="29"/>
      <c r="N353" s="29"/>
      <c r="O353" s="28"/>
      <c r="P353" s="28"/>
      <c r="Q353" s="29"/>
      <c r="R353" s="28"/>
      <c r="S353" s="69"/>
      <c r="U353" s="41" t="s">
        <v>84</v>
      </c>
      <c r="V353" s="42"/>
      <c r="W353" s="42"/>
      <c r="Y353" s="43" t="s">
        <v>104</v>
      </c>
      <c r="AB353" s="4" t="s">
        <v>106</v>
      </c>
      <c r="AD353" s="4">
        <v>-296.3813999950653</v>
      </c>
      <c r="AE353" s="4" t="s">
        <v>107</v>
      </c>
    </row>
    <row r="354" ht="15.6" customHeight="1" s="4" customFormat="1">
      <c r="A354" s="67"/>
      <c r="B354" s="27"/>
      <c r="C354" s="70"/>
      <c r="D354" s="29"/>
      <c r="E354" s="29"/>
      <c r="F354" s="30"/>
      <c r="G354" s="28"/>
      <c r="H354" s="29"/>
      <c r="I354" s="28"/>
      <c r="J354" s="69"/>
      <c r="K354" s="27"/>
      <c r="L354" s="70"/>
      <c r="M354" s="29"/>
      <c r="N354" s="29"/>
      <c r="O354" s="28"/>
      <c r="P354" s="28"/>
      <c r="Q354" s="29"/>
      <c r="R354" s="28"/>
      <c r="S354" s="69"/>
      <c r="U354" s="41"/>
      <c r="V354" s="42"/>
      <c r="W354" s="42"/>
      <c r="Y354" s="43"/>
      <c r="AB354" s="71" t="s">
        <v>108</v>
      </c>
      <c r="AD354" s="4">
        <v>-86.54000000360247</v>
      </c>
      <c r="AE354" s="4" t="s">
        <v>107</v>
      </c>
    </row>
    <row r="355" ht="15.6" customHeight="1" s="4" customFormat="1">
      <c r="A355" s="67"/>
      <c r="B355" s="27"/>
      <c r="C355" s="28"/>
      <c r="D355" s="29"/>
      <c r="E355" s="29"/>
      <c r="F355" s="30"/>
      <c r="G355" s="28"/>
      <c r="H355" s="29"/>
      <c r="I355" s="28"/>
      <c r="J355" s="31"/>
      <c r="K355" s="27"/>
      <c r="L355" s="28"/>
      <c r="M355" s="29"/>
      <c r="N355" s="29"/>
      <c r="O355" s="28"/>
      <c r="P355" s="28"/>
      <c r="Q355" s="29"/>
      <c r="R355" s="28"/>
      <c r="S355" s="69"/>
      <c r="U355" s="41" t="s">
        <v>109</v>
      </c>
      <c r="V355" s="42"/>
      <c r="W355" s="42"/>
      <c r="Y355" s="43"/>
      <c r="AB355" s="71"/>
    </row>
    <row r="356" ht="15.6" customHeight="1" s="4" customFormat="1">
      <c r="A356" s="67"/>
      <c r="B356" s="27"/>
      <c r="C356" s="28"/>
      <c r="D356" s="29"/>
      <c r="E356" s="29"/>
      <c r="F356" s="30"/>
      <c r="G356" s="28"/>
      <c r="H356" s="29"/>
      <c r="I356" s="28"/>
      <c r="J356" s="31"/>
      <c r="K356" s="27"/>
      <c r="L356" s="28"/>
      <c r="M356" s="29"/>
      <c r="N356" s="29"/>
      <c r="O356" s="28"/>
      <c r="P356" s="28"/>
      <c r="Q356" s="29"/>
      <c r="R356" s="28"/>
      <c r="S356" s="69"/>
      <c r="U356" s="41"/>
      <c r="V356" s="42"/>
      <c r="W356" s="42"/>
      <c r="Y356" s="43"/>
      <c r="AB356" s="71"/>
    </row>
    <row r="357" ht="15.6" customHeight="1" s="4" customFormat="1">
      <c r="A357" s="67"/>
      <c r="B357" s="27"/>
      <c r="C357" s="28"/>
      <c r="D357" s="29"/>
      <c r="E357" s="29"/>
      <c r="F357" s="30"/>
      <c r="G357" s="28"/>
      <c r="H357" s="29"/>
      <c r="I357" s="28"/>
      <c r="J357" s="31"/>
      <c r="K357" s="27"/>
      <c r="L357" s="28"/>
      <c r="M357" s="29"/>
      <c r="N357" s="29"/>
      <c r="O357" s="28"/>
      <c r="P357" s="28"/>
      <c r="Q357" s="29"/>
      <c r="R357" s="28"/>
      <c r="S357" s="69"/>
      <c r="U357" s="41"/>
      <c r="V357" s="42"/>
      <c r="W357" s="42"/>
      <c r="Y357" s="43"/>
      <c r="AB357" s="71"/>
    </row>
    <row r="358" ht="15.6" customHeight="1" s="4" customFormat="1">
      <c r="A358" s="67"/>
      <c r="B358" s="27"/>
      <c r="C358" s="28"/>
      <c r="D358" s="29"/>
      <c r="E358" s="29"/>
      <c r="F358" s="30"/>
      <c r="G358" s="28"/>
      <c r="H358" s="29"/>
      <c r="I358" s="28"/>
      <c r="J358" s="31"/>
      <c r="K358" s="27"/>
      <c r="L358" s="28"/>
      <c r="M358" s="29"/>
      <c r="N358" s="29"/>
      <c r="O358" s="28"/>
      <c r="P358" s="28"/>
      <c r="Q358" s="29"/>
      <c r="R358" s="28"/>
      <c r="S358" s="69"/>
      <c r="U358" s="41"/>
      <c r="V358" s="42"/>
      <c r="W358" s="42"/>
      <c r="Y358" s="43"/>
      <c r="AB358" s="71"/>
    </row>
    <row r="359" ht="15.6" customHeight="1" s="4" customFormat="1">
      <c r="A359" s="67"/>
      <c r="B359" s="27"/>
      <c r="C359" s="28"/>
      <c r="D359" s="29"/>
      <c r="E359" s="29"/>
      <c r="F359" s="30"/>
      <c r="G359" s="28"/>
      <c r="H359" s="29"/>
      <c r="I359" s="28"/>
      <c r="J359" s="31"/>
      <c r="K359" s="27"/>
      <c r="L359" s="28"/>
      <c r="M359" s="29"/>
      <c r="N359" s="29"/>
      <c r="O359" s="28"/>
      <c r="P359" s="28"/>
      <c r="Q359" s="29"/>
      <c r="R359" s="28"/>
      <c r="S359" s="31"/>
      <c r="U359" s="41" t="s">
        <v>84</v>
      </c>
      <c r="V359" s="42"/>
      <c r="W359" s="42"/>
      <c r="Y359" s="43" t="s">
        <v>104</v>
      </c>
    </row>
    <row r="360" ht="15.6" customHeight="1" s="4" customFormat="1">
      <c r="A360" s="26"/>
      <c r="B360" s="27"/>
      <c r="C360" s="28"/>
      <c r="D360" s="29"/>
      <c r="E360" s="29"/>
      <c r="F360" s="30"/>
      <c r="G360" s="28"/>
      <c r="H360" s="29"/>
      <c r="I360" s="28"/>
      <c r="J360" s="31"/>
      <c r="K360" s="27"/>
      <c r="L360" s="28"/>
      <c r="M360" s="29"/>
      <c r="N360" s="29"/>
      <c r="O360" s="28"/>
      <c r="P360" s="28"/>
      <c r="Q360" s="29"/>
      <c r="R360" s="28"/>
      <c r="S360" s="31"/>
      <c r="U360" s="41" t="s">
        <v>84</v>
      </c>
      <c r="V360" s="42"/>
      <c r="W360" s="42"/>
      <c r="Y360" s="43" t="s">
        <v>104</v>
      </c>
    </row>
    <row r="361" ht="15.6" customHeight="1" s="4" customFormat="1">
      <c r="A361" s="26"/>
      <c r="B361" s="27"/>
      <c r="C361" s="28"/>
      <c r="D361" s="29"/>
      <c r="E361" s="29"/>
      <c r="F361" s="30"/>
      <c r="G361" s="28"/>
      <c r="H361" s="29"/>
      <c r="I361" s="28"/>
      <c r="J361" s="31"/>
      <c r="K361" s="27"/>
      <c r="L361" s="28"/>
      <c r="M361" s="29"/>
      <c r="N361" s="29"/>
      <c r="O361" s="28"/>
      <c r="P361" s="28"/>
      <c r="Q361" s="29"/>
      <c r="R361" s="28"/>
      <c r="S361" s="31"/>
      <c r="U361" s="41" t="s">
        <v>84</v>
      </c>
      <c r="V361" s="42"/>
      <c r="W361" s="42"/>
      <c r="Y361" s="43" t="s">
        <v>104</v>
      </c>
    </row>
    <row r="362" ht="15.6" customHeight="1" s="4" customFormat="1">
      <c r="A362" s="26"/>
      <c r="B362" s="27"/>
      <c r="C362" s="28"/>
      <c r="D362" s="29"/>
      <c r="E362" s="29"/>
      <c r="F362" s="30"/>
      <c r="G362" s="28"/>
      <c r="H362" s="29"/>
      <c r="I362" s="28"/>
      <c r="J362" s="31"/>
      <c r="K362" s="27"/>
      <c r="L362" s="28"/>
      <c r="M362" s="29"/>
      <c r="N362" s="29"/>
      <c r="O362" s="28"/>
      <c r="P362" s="28"/>
      <c r="Q362" s="29"/>
      <c r="R362" s="28"/>
      <c r="S362" s="31"/>
      <c r="U362" s="41" t="s">
        <v>84</v>
      </c>
      <c r="V362" s="42"/>
      <c r="W362" s="42"/>
      <c r="Y362" s="43" t="s">
        <v>104</v>
      </c>
    </row>
    <row r="363" ht="15.6" customHeight="1" s="4" customFormat="1">
      <c r="A363" s="26"/>
      <c r="B363" s="27"/>
      <c r="C363" s="28"/>
      <c r="D363" s="29"/>
      <c r="E363" s="29"/>
      <c r="F363" s="30"/>
      <c r="G363" s="28"/>
      <c r="H363" s="29"/>
      <c r="I363" s="28"/>
      <c r="J363" s="31"/>
      <c r="K363" s="27"/>
      <c r="L363" s="28"/>
      <c r="M363" s="29"/>
      <c r="N363" s="29"/>
      <c r="O363" s="28"/>
      <c r="P363" s="28"/>
      <c r="Q363" s="29"/>
      <c r="R363" s="28"/>
      <c r="S363" s="31"/>
      <c r="U363" s="41" t="s">
        <v>84</v>
      </c>
      <c r="V363" s="42"/>
      <c r="W363" s="42"/>
      <c r="Y363" s="43" t="s">
        <v>104</v>
      </c>
    </row>
    <row r="364" ht="15.6" customHeight="1" s="4" customFormat="1">
      <c r="A364" s="26"/>
      <c r="B364" s="27"/>
      <c r="C364" s="28"/>
      <c r="D364" s="29"/>
      <c r="E364" s="29"/>
      <c r="F364" s="30"/>
      <c r="G364" s="28"/>
      <c r="H364" s="29"/>
      <c r="I364" s="28"/>
      <c r="J364" s="31"/>
      <c r="K364" s="27"/>
      <c r="L364" s="28"/>
      <c r="M364" s="29"/>
      <c r="N364" s="29"/>
      <c r="O364" s="28"/>
      <c r="P364" s="28"/>
      <c r="Q364" s="29"/>
      <c r="R364" s="28"/>
      <c r="S364" s="31"/>
      <c r="U364" s="41" t="s">
        <v>84</v>
      </c>
      <c r="V364" s="42"/>
      <c r="W364" s="42"/>
      <c r="Y364" s="43" t="s">
        <v>104</v>
      </c>
    </row>
    <row r="365" ht="15.6" customHeight="1" s="4" customFormat="1">
      <c r="A365" s="26"/>
      <c r="B365" s="27"/>
      <c r="C365" s="28"/>
      <c r="D365" s="29"/>
      <c r="E365" s="29"/>
      <c r="F365" s="30"/>
      <c r="G365" s="28"/>
      <c r="H365" s="29"/>
      <c r="I365" s="28"/>
      <c r="J365" s="31"/>
      <c r="K365" s="27"/>
      <c r="L365" s="28"/>
      <c r="M365" s="29"/>
      <c r="N365" s="29"/>
      <c r="O365" s="28"/>
      <c r="P365" s="28"/>
      <c r="Q365" s="29"/>
      <c r="R365" s="28"/>
      <c r="S365" s="31"/>
      <c r="U365" s="41" t="s">
        <v>84</v>
      </c>
      <c r="V365" s="42"/>
      <c r="W365" s="42"/>
      <c r="Y365" s="43" t="s">
        <v>104</v>
      </c>
    </row>
    <row r="366" ht="15.6" customHeight="1" s="4" customFormat="1">
      <c r="A366" s="26"/>
      <c r="B366" s="27"/>
      <c r="C366" s="28"/>
      <c r="D366" s="29"/>
      <c r="E366" s="29"/>
      <c r="F366" s="30"/>
      <c r="G366" s="28"/>
      <c r="H366" s="29"/>
      <c r="I366" s="28"/>
      <c r="J366" s="31"/>
      <c r="K366" s="27"/>
      <c r="L366" s="28"/>
      <c r="M366" s="29"/>
      <c r="N366" s="29"/>
      <c r="O366" s="28"/>
      <c r="P366" s="28"/>
      <c r="Q366" s="29"/>
      <c r="R366" s="28"/>
      <c r="S366" s="31"/>
      <c r="U366" s="41" t="s">
        <v>84</v>
      </c>
      <c r="V366" s="42"/>
      <c r="W366" s="42"/>
      <c r="Y366" s="43" t="s">
        <v>104</v>
      </c>
    </row>
    <row r="367" ht="15.6" customHeight="1" s="4" customFormat="1">
      <c r="A367" s="26"/>
      <c r="B367" s="27"/>
      <c r="C367" s="28"/>
      <c r="D367" s="29"/>
      <c r="E367" s="29"/>
      <c r="F367" s="30"/>
      <c r="G367" s="28"/>
      <c r="H367" s="29"/>
      <c r="I367" s="28"/>
      <c r="J367" s="31"/>
      <c r="K367" s="27"/>
      <c r="L367" s="28"/>
      <c r="M367" s="29"/>
      <c r="N367" s="29"/>
      <c r="O367" s="28"/>
      <c r="P367" s="28"/>
      <c r="Q367" s="29"/>
      <c r="R367" s="28"/>
      <c r="S367" s="31"/>
      <c r="U367" s="41" t="s">
        <v>84</v>
      </c>
      <c r="V367" s="42"/>
      <c r="W367" s="42"/>
      <c r="Y367" s="43" t="s">
        <v>104</v>
      </c>
    </row>
    <row r="368" ht="15.6" customHeight="1" s="4" customFormat="1">
      <c r="A368" s="26"/>
      <c r="B368" s="27"/>
      <c r="C368" s="28"/>
      <c r="D368" s="29"/>
      <c r="E368" s="29"/>
      <c r="F368" s="30"/>
      <c r="G368" s="28"/>
      <c r="H368" s="29"/>
      <c r="I368" s="28"/>
      <c r="J368" s="31"/>
      <c r="K368" s="27"/>
      <c r="L368" s="28"/>
      <c r="M368" s="29"/>
      <c r="N368" s="29"/>
      <c r="O368" s="28"/>
      <c r="P368" s="28"/>
      <c r="Q368" s="29"/>
      <c r="R368" s="28"/>
      <c r="S368" s="31"/>
      <c r="U368" s="41" t="s">
        <v>84</v>
      </c>
      <c r="V368" s="42"/>
      <c r="W368" s="42"/>
      <c r="Y368" s="43" t="s">
        <v>104</v>
      </c>
    </row>
    <row r="369" ht="15.6" customHeight="1" s="4" customFormat="1">
      <c r="A369" s="26"/>
      <c r="B369" s="27"/>
      <c r="C369" s="28"/>
      <c r="D369" s="29"/>
      <c r="E369" s="29"/>
      <c r="F369" s="30"/>
      <c r="G369" s="28"/>
      <c r="H369" s="29"/>
      <c r="I369" s="28"/>
      <c r="J369" s="31"/>
      <c r="K369" s="27"/>
      <c r="L369" s="28"/>
      <c r="M369" s="29"/>
      <c r="N369" s="29"/>
      <c r="O369" s="28"/>
      <c r="P369" s="28"/>
      <c r="Q369" s="29"/>
      <c r="R369" s="28"/>
      <c r="S369" s="31"/>
      <c r="U369" s="41" t="s">
        <v>84</v>
      </c>
      <c r="V369" s="42"/>
      <c r="W369" s="42"/>
      <c r="Y369" s="43" t="s">
        <v>104</v>
      </c>
    </row>
  </sheetData>
  <pageMargins left="0.7" right="0.7" top="0.75" bottom="0.75" header="0.3" footer="0.3"/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CDFCE5-7610-4824-8E67-452F1F0A0357}">
  <sheetPr codeName="Sheet7"/>
  <dimension ref="A1:A12"/>
  <sheetViews>
    <sheetView workbookViewId="0">
      <selection activeCell="H32" sqref="H32"/>
    </sheetView>
  </sheetViews>
  <sheetFormatPr defaultRowHeight="14.4" x14ac:dyDescent="0.3"/>
  <cols>
    <col min="1" max="1" bestFit="1" width="10.6640625" customWidth="1" style="4"/>
  </cols>
  <sheetData>
    <row r="1" ht="15" customHeight="1" s="4" customFormat="1">
      <c r="A1" s="26">
        <v>45253</v>
      </c>
    </row>
    <row r="2" ht="15" customHeight="1" s="4" customFormat="1">
      <c r="A2" s="26">
        <v>45285</v>
      </c>
    </row>
    <row r="3" ht="15" customHeight="1" s="4" customFormat="1">
      <c r="A3" s="26">
        <v>45292</v>
      </c>
    </row>
    <row r="4" ht="15" customHeight="1" s="4" customFormat="1">
      <c r="A4" s="26">
        <v>45306</v>
      </c>
    </row>
    <row r="5" ht="15" customHeight="1" s="4" customFormat="1">
      <c r="A5" s="26">
        <v>45341</v>
      </c>
    </row>
    <row r="6" ht="15" customHeight="1" s="4" customFormat="1">
      <c r="A6" s="26">
        <v>45380</v>
      </c>
    </row>
    <row r="7" ht="15" customHeight="1" s="4" customFormat="1">
      <c r="A7" s="26">
        <v>45439</v>
      </c>
    </row>
    <row r="8" ht="15" customHeight="1" s="4" customFormat="1">
      <c r="A8" s="26">
        <v>45462</v>
      </c>
    </row>
    <row r="9" ht="15" customHeight="1" s="4" customFormat="1">
      <c r="A9" s="26">
        <v>45477</v>
      </c>
    </row>
    <row r="10" ht="15" customHeight="1" s="4" customFormat="1">
      <c r="A10" s="26">
        <v>45537</v>
      </c>
    </row>
    <row r="11" ht="15" customHeight="1" s="4" customFormat="1">
      <c r="A11" s="26">
        <v>45624</v>
      </c>
    </row>
    <row r="12" ht="15" customHeight="1" s="4" customFormat="1">
      <c r="A12" s="26">
        <v>45651</v>
      </c>
    </row>
  </sheetData>
  <pageMargins left="0.7" right="0.7" top="0.75" bottom="0.75" header="0.3" footer="0.3"/>
  <headerFooter/>
</worksheet>
</file>